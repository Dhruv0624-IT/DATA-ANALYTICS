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DHRUV\OneDrive\Desktop\"/>
    </mc:Choice>
  </mc:AlternateContent>
  <xr:revisionPtr revIDLastSave="0" documentId="13_ncr:1_{79411AD3-33BA-4058-B56B-15A2E4CE8192}" xr6:coauthVersionLast="47" xr6:coauthVersionMax="47" xr10:uidLastSave="{00000000-0000-0000-0000-000000000000}"/>
  <bookViews>
    <workbookView xWindow="-108" yWindow="-108" windowWidth="23256" windowHeight="13896" activeTab="2" xr2:uid="{00000000-000D-0000-FFFF-FFFF00000000}"/>
  </bookViews>
  <sheets>
    <sheet name="Raw Data" sheetId="1" r:id="rId1"/>
    <sheet name="Pivot-Table" sheetId="10" r:id="rId2"/>
    <sheet name="Dashboard" sheetId="11" r:id="rId3"/>
    <sheet name="Sheet1" sheetId="12" r:id="rId4"/>
  </sheets>
  <definedNames>
    <definedName name="NativeTimeline_Order_Date">#N/A</definedName>
    <definedName name="Slicer_Category">#N/A</definedName>
    <definedName name="Slicer_Payment_Method">#N/A</definedName>
    <definedName name="Slicer_Status">#N/A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R26" i="1" l="1"/>
  <c r="R37" i="1"/>
  <c r="R41" i="1"/>
  <c r="R44" i="1"/>
  <c r="R57" i="1"/>
  <c r="R62" i="1"/>
  <c r="R65" i="1"/>
  <c r="R66" i="1"/>
  <c r="R75" i="1"/>
  <c r="R79" i="1"/>
  <c r="R88" i="1"/>
  <c r="R90" i="1"/>
  <c r="R91" i="1"/>
  <c r="R92" i="1"/>
  <c r="R98" i="1"/>
  <c r="AF3" i="1" a="1"/>
  <c r="AF3" i="1" s="1"/>
  <c r="AF4" i="1" a="1"/>
  <c r="AF4" i="1" s="1"/>
  <c r="AF5" i="1" a="1"/>
  <c r="AF5" i="1" s="1"/>
  <c r="AF6" i="1" a="1"/>
  <c r="AF6" i="1" s="1"/>
  <c r="AF7" i="1" a="1"/>
  <c r="AF7" i="1" s="1"/>
  <c r="AF8" i="1" a="1"/>
  <c r="AF8" i="1" s="1"/>
  <c r="AF9" i="1" a="1"/>
  <c r="AF9" i="1"/>
  <c r="AF10" i="1" a="1"/>
  <c r="AF10" i="1" s="1"/>
  <c r="AF11" i="1" a="1"/>
  <c r="AF11" i="1" s="1"/>
  <c r="AF12" i="1" a="1"/>
  <c r="AF12" i="1" s="1"/>
  <c r="AF13" i="1" a="1"/>
  <c r="AF13" i="1" s="1"/>
  <c r="AF14" i="1" a="1"/>
  <c r="AF14" i="1" s="1"/>
  <c r="AF15" i="1" a="1"/>
  <c r="AF15" i="1" s="1"/>
  <c r="AF16" i="1" a="1"/>
  <c r="AF16" i="1" s="1"/>
  <c r="AF17" i="1" a="1"/>
  <c r="AF17" i="1" s="1"/>
  <c r="AF18" i="1" a="1"/>
  <c r="AF18" i="1" s="1"/>
  <c r="AF19" i="1" a="1"/>
  <c r="AF19" i="1" s="1"/>
  <c r="AF20" i="1" a="1"/>
  <c r="AF20" i="1" s="1"/>
  <c r="AF21" i="1" a="1"/>
  <c r="AF21" i="1" s="1"/>
  <c r="AF22" i="1" a="1"/>
  <c r="AF22" i="1" s="1"/>
  <c r="AF23" i="1" a="1"/>
  <c r="AF23" i="1"/>
  <c r="AF24" i="1" a="1"/>
  <c r="AF24" i="1" s="1"/>
  <c r="AF25" i="1" a="1"/>
  <c r="AF25" i="1" s="1"/>
  <c r="AF26" i="1" a="1"/>
  <c r="AF26" i="1" s="1"/>
  <c r="AF27" i="1" a="1"/>
  <c r="AF27" i="1"/>
  <c r="AF28" i="1" a="1"/>
  <c r="AF28" i="1" s="1"/>
  <c r="AF29" i="1" a="1"/>
  <c r="AF29" i="1"/>
  <c r="AF30" i="1" a="1"/>
  <c r="AF30" i="1" s="1"/>
  <c r="AF31" i="1" a="1"/>
  <c r="AF31" i="1" s="1"/>
  <c r="AF32" i="1" a="1"/>
  <c r="AF32" i="1" s="1"/>
  <c r="AF33" i="1" a="1"/>
  <c r="AF33" i="1" s="1"/>
  <c r="AF34" i="1" a="1"/>
  <c r="AF34" i="1" s="1"/>
  <c r="AF35" i="1" a="1"/>
  <c r="AF35" i="1" s="1"/>
  <c r="AF36" i="1" a="1"/>
  <c r="AF36" i="1" s="1"/>
  <c r="AF37" i="1" a="1"/>
  <c r="AF37" i="1" s="1"/>
  <c r="AF38" i="1" a="1"/>
  <c r="AF38" i="1" s="1"/>
  <c r="AF39" i="1" a="1"/>
  <c r="AF39" i="1" s="1"/>
  <c r="AF40" i="1" a="1"/>
  <c r="AF40" i="1" s="1"/>
  <c r="AF41" i="1" a="1"/>
  <c r="AF41" i="1" s="1"/>
  <c r="AF42" i="1" a="1"/>
  <c r="AF42" i="1" s="1"/>
  <c r="AF43" i="1" a="1"/>
  <c r="AF43" i="1"/>
  <c r="AF44" i="1" a="1"/>
  <c r="AF44" i="1" s="1"/>
  <c r="AF45" i="1" a="1"/>
  <c r="AF45" i="1"/>
  <c r="AF46" i="1" a="1"/>
  <c r="AF46" i="1" s="1"/>
  <c r="AF47" i="1" a="1"/>
  <c r="AF47" i="1"/>
  <c r="AF48" i="1" a="1"/>
  <c r="AF48" i="1" s="1"/>
  <c r="AF49" i="1" a="1"/>
  <c r="AF49" i="1" s="1"/>
  <c r="AF50" i="1" a="1"/>
  <c r="AF50" i="1" s="1"/>
  <c r="AF51" i="1" a="1"/>
  <c r="AF51" i="1" s="1"/>
  <c r="AF52" i="1" a="1"/>
  <c r="AF52" i="1" s="1"/>
  <c r="AF53" i="1" a="1"/>
  <c r="AF53" i="1" s="1"/>
  <c r="AF54" i="1" a="1"/>
  <c r="AF54" i="1" s="1"/>
  <c r="AF55" i="1" a="1"/>
  <c r="AF55" i="1" s="1"/>
  <c r="AF56" i="1" a="1"/>
  <c r="AF56" i="1" s="1"/>
  <c r="AF57" i="1" a="1"/>
  <c r="AF57" i="1" s="1"/>
  <c r="AF58" i="1" a="1"/>
  <c r="AF58" i="1" s="1"/>
  <c r="AF59" i="1" a="1"/>
  <c r="AF59" i="1" s="1"/>
  <c r="AF60" i="1" a="1"/>
  <c r="AF60" i="1" s="1"/>
  <c r="AF61" i="1" a="1"/>
  <c r="AF61" i="1" s="1"/>
  <c r="AF62" i="1" a="1"/>
  <c r="AF62" i="1" s="1"/>
  <c r="AF63" i="1" a="1"/>
  <c r="AF63" i="1" s="1"/>
  <c r="AF64" i="1" a="1"/>
  <c r="AF64" i="1" s="1"/>
  <c r="AF65" i="1" a="1"/>
  <c r="AF65" i="1" s="1"/>
  <c r="AF66" i="1" a="1"/>
  <c r="AF66" i="1" s="1"/>
  <c r="AF67" i="1" a="1"/>
  <c r="AF67" i="1" s="1"/>
  <c r="AF68" i="1" a="1"/>
  <c r="AF68" i="1" s="1"/>
  <c r="AF69" i="1" a="1"/>
  <c r="AF69" i="1"/>
  <c r="AF70" i="1" a="1"/>
  <c r="AF70" i="1" s="1"/>
  <c r="AF71" i="1" a="1"/>
  <c r="AF71" i="1"/>
  <c r="AF72" i="1" a="1"/>
  <c r="AF72" i="1" s="1"/>
  <c r="AF73" i="1" a="1"/>
  <c r="AF73" i="1"/>
  <c r="AF74" i="1" a="1"/>
  <c r="AF74" i="1" s="1"/>
  <c r="AF75" i="1" a="1"/>
  <c r="AF75" i="1" s="1"/>
  <c r="AF76" i="1" a="1"/>
  <c r="AF76" i="1" s="1"/>
  <c r="AF77" i="1" a="1"/>
  <c r="AF77" i="1" s="1"/>
  <c r="AF78" i="1" a="1"/>
  <c r="AF78" i="1" s="1"/>
  <c r="AF79" i="1" a="1"/>
  <c r="AF79" i="1"/>
  <c r="AF80" i="1" a="1"/>
  <c r="AF80" i="1" s="1"/>
  <c r="AF81" i="1" a="1"/>
  <c r="AF81" i="1"/>
  <c r="AF82" i="1" a="1"/>
  <c r="AF82" i="1" s="1"/>
  <c r="AF83" i="1" a="1"/>
  <c r="AF83" i="1" s="1"/>
  <c r="AF84" i="1" a="1"/>
  <c r="AF84" i="1" s="1"/>
  <c r="AF85" i="1" a="1"/>
  <c r="AF85" i="1"/>
  <c r="AF86" i="1" a="1"/>
  <c r="AF86" i="1" s="1"/>
  <c r="AF87" i="1" a="1"/>
  <c r="AF87" i="1" s="1"/>
  <c r="AF88" i="1" a="1"/>
  <c r="AF88" i="1" s="1"/>
  <c r="AF89" i="1" a="1"/>
  <c r="AF89" i="1" s="1"/>
  <c r="AF90" i="1" a="1"/>
  <c r="AF90" i="1" s="1"/>
  <c r="AF91" i="1" a="1"/>
  <c r="AF91" i="1"/>
  <c r="AF92" i="1" a="1"/>
  <c r="AF92" i="1" s="1"/>
  <c r="AF93" i="1" a="1"/>
  <c r="AF93" i="1" s="1"/>
  <c r="AF94" i="1" a="1"/>
  <c r="AF94" i="1" s="1"/>
  <c r="AF95" i="1" a="1"/>
  <c r="AF95" i="1" s="1"/>
  <c r="AF96" i="1" a="1"/>
  <c r="AF96" i="1" s="1"/>
  <c r="AF97" i="1" a="1"/>
  <c r="AF97" i="1"/>
  <c r="AF98" i="1" a="1"/>
  <c r="AF98" i="1" s="1"/>
  <c r="AF99" i="1" a="1"/>
  <c r="AF99" i="1" s="1"/>
  <c r="AF100" i="1" a="1"/>
  <c r="AF100" i="1" s="1"/>
  <c r="AF101" i="1" a="1"/>
  <c r="AF101" i="1" s="1"/>
  <c r="AF2" i="1" a="1"/>
  <c r="AF2" i="1" s="1"/>
  <c r="AE3" i="1"/>
  <c r="AE4" i="1"/>
  <c r="AE5" i="1"/>
  <c r="AE6" i="1"/>
  <c r="AE7" i="1"/>
  <c r="AE8" i="1"/>
  <c r="AE9" i="1"/>
  <c r="AE10" i="1"/>
  <c r="AE11" i="1"/>
  <c r="AE12" i="1"/>
  <c r="AE13" i="1"/>
  <c r="AE14" i="1"/>
  <c r="AE15" i="1"/>
  <c r="AE16" i="1"/>
  <c r="AE17" i="1"/>
  <c r="AE18" i="1"/>
  <c r="AE19" i="1"/>
  <c r="AE20" i="1"/>
  <c r="AE21" i="1"/>
  <c r="AE22" i="1"/>
  <c r="AE23" i="1"/>
  <c r="AE24" i="1"/>
  <c r="AE25" i="1"/>
  <c r="AE26" i="1"/>
  <c r="AE27" i="1"/>
  <c r="AE28" i="1"/>
  <c r="AE29" i="1"/>
  <c r="AE30" i="1"/>
  <c r="AE31" i="1"/>
  <c r="AE32" i="1"/>
  <c r="AE33" i="1"/>
  <c r="AE34" i="1"/>
  <c r="AE35" i="1"/>
  <c r="AE36" i="1"/>
  <c r="AE37" i="1"/>
  <c r="AE38" i="1"/>
  <c r="AE39" i="1"/>
  <c r="AE40" i="1"/>
  <c r="AE41" i="1"/>
  <c r="AE42" i="1"/>
  <c r="AE43" i="1"/>
  <c r="AE44" i="1"/>
  <c r="AE45" i="1"/>
  <c r="AE46" i="1"/>
  <c r="AE47" i="1"/>
  <c r="AE48" i="1"/>
  <c r="AE49" i="1"/>
  <c r="AE50" i="1"/>
  <c r="AE51" i="1"/>
  <c r="AE52" i="1"/>
  <c r="AE53" i="1"/>
  <c r="AE54" i="1"/>
  <c r="AE55" i="1"/>
  <c r="AE56" i="1"/>
  <c r="AE57" i="1"/>
  <c r="AE58" i="1"/>
  <c r="AE59" i="1"/>
  <c r="AE60" i="1"/>
  <c r="AE61" i="1"/>
  <c r="AE62" i="1"/>
  <c r="AE63" i="1"/>
  <c r="AE64" i="1"/>
  <c r="AE65" i="1"/>
  <c r="AE66" i="1"/>
  <c r="AE67" i="1"/>
  <c r="AE68" i="1"/>
  <c r="AE69" i="1"/>
  <c r="AE70" i="1"/>
  <c r="AE71" i="1"/>
  <c r="AE72" i="1"/>
  <c r="AE73" i="1"/>
  <c r="AE74" i="1"/>
  <c r="AE75" i="1"/>
  <c r="AE76" i="1"/>
  <c r="AE77" i="1"/>
  <c r="AE78" i="1"/>
  <c r="AE79" i="1"/>
  <c r="AE80" i="1"/>
  <c r="AE81" i="1"/>
  <c r="AE82" i="1"/>
  <c r="AE83" i="1"/>
  <c r="AE84" i="1"/>
  <c r="AE85" i="1"/>
  <c r="AE86" i="1"/>
  <c r="AE87" i="1"/>
  <c r="AE88" i="1"/>
  <c r="AE89" i="1"/>
  <c r="AE90" i="1"/>
  <c r="AE91" i="1"/>
  <c r="AE92" i="1"/>
  <c r="AE93" i="1"/>
  <c r="AE94" i="1"/>
  <c r="AE95" i="1"/>
  <c r="AE96" i="1"/>
  <c r="AE97" i="1"/>
  <c r="AE98" i="1"/>
  <c r="AE99" i="1"/>
  <c r="AE100" i="1"/>
  <c r="AE101" i="1"/>
  <c r="AE2" i="1"/>
  <c r="AD2" i="1"/>
  <c r="AD3" i="1"/>
  <c r="AD4" i="1"/>
  <c r="AD5" i="1"/>
  <c r="AD6" i="1"/>
  <c r="AD7" i="1"/>
  <c r="AD8" i="1"/>
  <c r="AD9" i="1"/>
  <c r="AD10" i="1"/>
  <c r="AD11" i="1"/>
  <c r="AD12" i="1"/>
  <c r="AD13" i="1"/>
  <c r="AD14" i="1"/>
  <c r="AD15" i="1"/>
  <c r="AD16" i="1"/>
  <c r="AD17" i="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A6" i="1"/>
  <c r="AB6" i="1" s="1"/>
  <c r="AA7" i="1"/>
  <c r="AB7" i="1" s="1"/>
  <c r="AA10" i="1"/>
  <c r="AB10" i="1" s="1"/>
  <c r="AA11" i="1"/>
  <c r="AB11" i="1" s="1"/>
  <c r="AA13" i="1"/>
  <c r="AB13" i="1" s="1"/>
  <c r="AA14" i="1"/>
  <c r="AB14" i="1" s="1"/>
  <c r="AA15" i="1"/>
  <c r="AB15" i="1" s="1"/>
  <c r="AA16" i="1"/>
  <c r="AB16" i="1" s="1"/>
  <c r="AA17" i="1"/>
  <c r="AB17" i="1" s="1"/>
  <c r="AA22" i="1"/>
  <c r="AB22" i="1" s="1"/>
  <c r="AA24" i="1"/>
  <c r="AB24" i="1" s="1"/>
  <c r="AA25" i="1"/>
  <c r="AB25" i="1" s="1"/>
  <c r="AA26" i="1"/>
  <c r="AA27" i="1"/>
  <c r="AB27" i="1" s="1"/>
  <c r="AA28" i="1"/>
  <c r="AB28" i="1" s="1"/>
  <c r="AA29" i="1"/>
  <c r="AB29" i="1" s="1"/>
  <c r="AA30" i="1"/>
  <c r="AB30" i="1" s="1"/>
  <c r="AA31" i="1"/>
  <c r="AB31" i="1" s="1"/>
  <c r="AA32" i="1"/>
  <c r="AA33" i="1"/>
  <c r="AB33" i="1" s="1"/>
  <c r="AA40" i="1"/>
  <c r="AB40" i="1" s="1"/>
  <c r="AA41" i="1"/>
  <c r="AB41" i="1" s="1"/>
  <c r="AA43" i="1"/>
  <c r="AB43" i="1" s="1"/>
  <c r="AA44" i="1"/>
  <c r="AB44" i="1" s="1"/>
  <c r="AA45" i="1"/>
  <c r="AB45" i="1" s="1"/>
  <c r="AA47" i="1"/>
  <c r="AB47" i="1" s="1"/>
  <c r="AA48" i="1"/>
  <c r="AB48" i="1" s="1"/>
  <c r="AA49" i="1"/>
  <c r="AB49" i="1" s="1"/>
  <c r="AA56" i="1"/>
  <c r="AB56" i="1" s="1"/>
  <c r="AA57" i="1"/>
  <c r="AB57" i="1" s="1"/>
  <c r="AA59" i="1"/>
  <c r="AB59" i="1" s="1"/>
  <c r="AA60" i="1"/>
  <c r="AB60" i="1" s="1"/>
  <c r="AA61" i="1"/>
  <c r="AB61" i="1" s="1"/>
  <c r="AA62" i="1"/>
  <c r="AB62" i="1" s="1"/>
  <c r="AA63" i="1"/>
  <c r="AB63" i="1" s="1"/>
  <c r="AA64" i="1"/>
  <c r="AB64" i="1" s="1"/>
  <c r="AA65" i="1"/>
  <c r="AB65" i="1" s="1"/>
  <c r="AA75" i="1"/>
  <c r="AB75" i="1" s="1"/>
  <c r="AA76" i="1"/>
  <c r="AB76" i="1" s="1"/>
  <c r="AA78" i="1"/>
  <c r="AB78" i="1" s="1"/>
  <c r="AA79" i="1"/>
  <c r="AB79" i="1" s="1"/>
  <c r="AA80" i="1"/>
  <c r="AB80" i="1" s="1"/>
  <c r="AA81" i="1"/>
  <c r="AB81" i="1" s="1"/>
  <c r="AA89" i="1"/>
  <c r="AB89" i="1" s="1"/>
  <c r="AA91" i="1"/>
  <c r="AB91" i="1" s="1"/>
  <c r="AA92" i="1"/>
  <c r="AB92" i="1" s="1"/>
  <c r="AA93" i="1"/>
  <c r="AB93" i="1" s="1"/>
  <c r="AA94" i="1"/>
  <c r="AB94" i="1" s="1"/>
  <c r="AA95" i="1"/>
  <c r="AB95" i="1" s="1"/>
  <c r="AA96" i="1"/>
  <c r="AB96" i="1" s="1"/>
  <c r="AA100" i="1"/>
  <c r="AB100" i="1" s="1"/>
  <c r="U101" i="1"/>
  <c r="V101" i="1" s="1"/>
  <c r="W101" i="1" s="1"/>
  <c r="U95" i="1"/>
  <c r="V95" i="1" s="1"/>
  <c r="W95" i="1" s="1"/>
  <c r="X95" i="1" s="1"/>
  <c r="U96" i="1"/>
  <c r="V96" i="1" s="1"/>
  <c r="W96" i="1" s="1"/>
  <c r="X96" i="1" s="1"/>
  <c r="U97" i="1"/>
  <c r="V97" i="1" s="1"/>
  <c r="W97" i="1" s="1"/>
  <c r="U98" i="1"/>
  <c r="V98" i="1" s="1"/>
  <c r="W98" i="1" s="1"/>
  <c r="U99" i="1"/>
  <c r="V99" i="1" s="1"/>
  <c r="W99" i="1" s="1"/>
  <c r="U100" i="1"/>
  <c r="V100" i="1" s="1"/>
  <c r="W100" i="1" s="1"/>
  <c r="X100" i="1" s="1"/>
  <c r="U75" i="1"/>
  <c r="V75" i="1" s="1"/>
  <c r="W75" i="1" s="1"/>
  <c r="U76" i="1"/>
  <c r="V76" i="1" s="1"/>
  <c r="W76" i="1" s="1"/>
  <c r="G76" i="1" s="1"/>
  <c r="AC76" i="1" s="1"/>
  <c r="U77" i="1"/>
  <c r="V77" i="1" s="1"/>
  <c r="W77" i="1" s="1"/>
  <c r="X77" i="1" s="1"/>
  <c r="U78" i="1"/>
  <c r="V78" i="1" s="1"/>
  <c r="W78" i="1" s="1"/>
  <c r="U79" i="1"/>
  <c r="V79" i="1" s="1"/>
  <c r="W79" i="1" s="1"/>
  <c r="U80" i="1"/>
  <c r="V80" i="1" s="1"/>
  <c r="W80" i="1" s="1"/>
  <c r="U81" i="1"/>
  <c r="V81" i="1" s="1"/>
  <c r="W81" i="1" s="1"/>
  <c r="X81" i="1" s="1"/>
  <c r="U82" i="1"/>
  <c r="V82" i="1" s="1"/>
  <c r="W82" i="1" s="1"/>
  <c r="U83" i="1"/>
  <c r="V83" i="1" s="1"/>
  <c r="W83" i="1" s="1"/>
  <c r="Z83" i="1" s="1"/>
  <c r="U84" i="1"/>
  <c r="V84" i="1" s="1"/>
  <c r="W84" i="1" s="1"/>
  <c r="U85" i="1"/>
  <c r="V85" i="1" s="1"/>
  <c r="W85" i="1" s="1"/>
  <c r="U86" i="1"/>
  <c r="V86" i="1" s="1"/>
  <c r="W86" i="1" s="1"/>
  <c r="U87" i="1"/>
  <c r="V87" i="1" s="1"/>
  <c r="W87" i="1" s="1"/>
  <c r="U88" i="1"/>
  <c r="V88" i="1" s="1"/>
  <c r="W88" i="1" s="1"/>
  <c r="U89" i="1"/>
  <c r="V89" i="1" s="1"/>
  <c r="W89" i="1" s="1"/>
  <c r="U90" i="1"/>
  <c r="V90" i="1" s="1"/>
  <c r="W90" i="1" s="1"/>
  <c r="U91" i="1"/>
  <c r="V91" i="1" s="1"/>
  <c r="W91" i="1" s="1"/>
  <c r="G91" i="1" s="1"/>
  <c r="AC91" i="1" s="1"/>
  <c r="U92" i="1"/>
  <c r="V92" i="1" s="1"/>
  <c r="W92" i="1" s="1"/>
  <c r="G92" i="1" s="1"/>
  <c r="AC92" i="1" s="1"/>
  <c r="U93" i="1"/>
  <c r="V93" i="1" s="1"/>
  <c r="W93" i="1" s="1"/>
  <c r="G93" i="1" s="1"/>
  <c r="U94" i="1"/>
  <c r="V94" i="1" s="1"/>
  <c r="W94" i="1" s="1"/>
  <c r="X94" i="1" s="1"/>
  <c r="U66" i="1"/>
  <c r="V66" i="1" s="1"/>
  <c r="W66" i="1" s="1"/>
  <c r="U67" i="1"/>
  <c r="V67" i="1" s="1"/>
  <c r="W67" i="1" s="1"/>
  <c r="U68" i="1"/>
  <c r="V68" i="1" s="1"/>
  <c r="W68" i="1" s="1"/>
  <c r="U69" i="1"/>
  <c r="V69" i="1" s="1"/>
  <c r="W69" i="1" s="1"/>
  <c r="U70" i="1"/>
  <c r="V70" i="1" s="1"/>
  <c r="W70" i="1" s="1"/>
  <c r="Z70" i="1" s="1"/>
  <c r="U71" i="1"/>
  <c r="V71" i="1" s="1"/>
  <c r="W71" i="1" s="1"/>
  <c r="Z71" i="1" s="1"/>
  <c r="U72" i="1"/>
  <c r="V72" i="1" s="1"/>
  <c r="W72" i="1" s="1"/>
  <c r="G72" i="1" s="1"/>
  <c r="AC72" i="1" s="1"/>
  <c r="U73" i="1"/>
  <c r="V73" i="1" s="1"/>
  <c r="W73" i="1" s="1"/>
  <c r="G73" i="1" s="1"/>
  <c r="U74" i="1"/>
  <c r="V74" i="1" s="1"/>
  <c r="W74" i="1" s="1"/>
  <c r="U10" i="1"/>
  <c r="V10" i="1" s="1"/>
  <c r="W10" i="1" s="1"/>
  <c r="X10" i="1" s="1"/>
  <c r="U11" i="1"/>
  <c r="V11" i="1" s="1"/>
  <c r="W11" i="1" s="1"/>
  <c r="U12" i="1"/>
  <c r="V12" i="1" s="1"/>
  <c r="W12" i="1" s="1"/>
  <c r="G12" i="1" s="1"/>
  <c r="AC12" i="1" s="1"/>
  <c r="U13" i="1"/>
  <c r="V13" i="1" s="1"/>
  <c r="W13" i="1" s="1"/>
  <c r="G13" i="1" s="1"/>
  <c r="U14" i="1"/>
  <c r="V14" i="1" s="1"/>
  <c r="W14" i="1" s="1"/>
  <c r="G14" i="1" s="1"/>
  <c r="U15" i="1"/>
  <c r="V15" i="1" s="1"/>
  <c r="W15" i="1" s="1"/>
  <c r="X15" i="1" s="1"/>
  <c r="U16" i="1"/>
  <c r="V16" i="1" s="1"/>
  <c r="W16" i="1" s="1"/>
  <c r="U17" i="1"/>
  <c r="V17" i="1" s="1"/>
  <c r="W17" i="1" s="1"/>
  <c r="U18" i="1"/>
  <c r="V18" i="1" s="1"/>
  <c r="W18" i="1" s="1"/>
  <c r="U19" i="1"/>
  <c r="V19" i="1" s="1"/>
  <c r="W19" i="1" s="1"/>
  <c r="U20" i="1"/>
  <c r="V20" i="1" s="1"/>
  <c r="W20" i="1" s="1"/>
  <c r="U21" i="1"/>
  <c r="V21" i="1" s="1"/>
  <c r="W21" i="1" s="1"/>
  <c r="U22" i="1"/>
  <c r="V22" i="1" s="1"/>
  <c r="W22" i="1" s="1"/>
  <c r="U23" i="1"/>
  <c r="V23" i="1" s="1"/>
  <c r="W23" i="1" s="1"/>
  <c r="U24" i="1"/>
  <c r="V24" i="1" s="1"/>
  <c r="W24" i="1" s="1"/>
  <c r="U25" i="1"/>
  <c r="V25" i="1" s="1"/>
  <c r="W25" i="1" s="1"/>
  <c r="U26" i="1"/>
  <c r="V26" i="1" s="1"/>
  <c r="W26" i="1" s="1"/>
  <c r="U27" i="1"/>
  <c r="V27" i="1" s="1"/>
  <c r="W27" i="1" s="1"/>
  <c r="U28" i="1"/>
  <c r="V28" i="1" s="1"/>
  <c r="W28" i="1" s="1"/>
  <c r="Z28" i="1" s="1"/>
  <c r="U29" i="1"/>
  <c r="V29" i="1" s="1"/>
  <c r="W29" i="1" s="1"/>
  <c r="Z29" i="1" s="1"/>
  <c r="U30" i="1"/>
  <c r="V30" i="1" s="1"/>
  <c r="W30" i="1" s="1"/>
  <c r="Z30" i="1" s="1"/>
  <c r="U31" i="1"/>
  <c r="V31" i="1" s="1"/>
  <c r="W31" i="1" s="1"/>
  <c r="G31" i="1" s="1"/>
  <c r="U32" i="1"/>
  <c r="V32" i="1" s="1"/>
  <c r="W32" i="1" s="1"/>
  <c r="Z32" i="1" s="1"/>
  <c r="U33" i="1"/>
  <c r="V33" i="1" s="1"/>
  <c r="W33" i="1" s="1"/>
  <c r="Z33" i="1" s="1"/>
  <c r="U34" i="1"/>
  <c r="V34" i="1" s="1"/>
  <c r="W34" i="1" s="1"/>
  <c r="Z34" i="1" s="1"/>
  <c r="U35" i="1"/>
  <c r="V35" i="1" s="1"/>
  <c r="W35" i="1" s="1"/>
  <c r="G35" i="1" s="1"/>
  <c r="U36" i="1"/>
  <c r="V36" i="1" s="1"/>
  <c r="W36" i="1" s="1"/>
  <c r="G36" i="1" s="1"/>
  <c r="U37" i="1"/>
  <c r="V37" i="1" s="1"/>
  <c r="W37" i="1" s="1"/>
  <c r="Z37" i="1" s="1"/>
  <c r="U38" i="1"/>
  <c r="V38" i="1" s="1"/>
  <c r="W38" i="1" s="1"/>
  <c r="U39" i="1"/>
  <c r="V39" i="1" s="1"/>
  <c r="W39" i="1" s="1"/>
  <c r="U40" i="1"/>
  <c r="V40" i="1" s="1"/>
  <c r="W40" i="1" s="1"/>
  <c r="U41" i="1"/>
  <c r="V41" i="1" s="1"/>
  <c r="W41" i="1" s="1"/>
  <c r="U42" i="1"/>
  <c r="V42" i="1" s="1"/>
  <c r="W42" i="1" s="1"/>
  <c r="U43" i="1"/>
  <c r="V43" i="1" s="1"/>
  <c r="W43" i="1" s="1"/>
  <c r="U44" i="1"/>
  <c r="V44" i="1" s="1"/>
  <c r="W44" i="1" s="1"/>
  <c r="U45" i="1"/>
  <c r="V45" i="1" s="1"/>
  <c r="W45" i="1" s="1"/>
  <c r="U46" i="1"/>
  <c r="V46" i="1" s="1"/>
  <c r="W46" i="1" s="1"/>
  <c r="U47" i="1"/>
  <c r="V47" i="1" s="1"/>
  <c r="W47" i="1" s="1"/>
  <c r="U48" i="1"/>
  <c r="V48" i="1" s="1"/>
  <c r="W48" i="1" s="1"/>
  <c r="G48" i="1" s="1"/>
  <c r="AC48" i="1" s="1"/>
  <c r="U49" i="1"/>
  <c r="V49" i="1" s="1"/>
  <c r="W49" i="1" s="1"/>
  <c r="G49" i="1" s="1"/>
  <c r="AC49" i="1" s="1"/>
  <c r="U50" i="1"/>
  <c r="V50" i="1" s="1"/>
  <c r="W50" i="1" s="1"/>
  <c r="U51" i="1"/>
  <c r="V51" i="1" s="1"/>
  <c r="W51" i="1" s="1"/>
  <c r="X51" i="1" s="1"/>
  <c r="U52" i="1"/>
  <c r="V52" i="1" s="1"/>
  <c r="W52" i="1" s="1"/>
  <c r="X52" i="1" s="1"/>
  <c r="U53" i="1"/>
  <c r="V53" i="1" s="1"/>
  <c r="W53" i="1" s="1"/>
  <c r="U54" i="1"/>
  <c r="V54" i="1" s="1"/>
  <c r="W54" i="1" s="1"/>
  <c r="G54" i="1" s="1"/>
  <c r="U55" i="1"/>
  <c r="V55" i="1" s="1"/>
  <c r="W55" i="1" s="1"/>
  <c r="Z55" i="1" s="1"/>
  <c r="U56" i="1"/>
  <c r="V56" i="1" s="1"/>
  <c r="W56" i="1" s="1"/>
  <c r="G56" i="1" s="1"/>
  <c r="U57" i="1"/>
  <c r="V57" i="1" s="1"/>
  <c r="W57" i="1" s="1"/>
  <c r="U58" i="1"/>
  <c r="V58" i="1" s="1"/>
  <c r="W58" i="1" s="1"/>
  <c r="U59" i="1"/>
  <c r="V59" i="1" s="1"/>
  <c r="W59" i="1" s="1"/>
  <c r="U60" i="1"/>
  <c r="V60" i="1" s="1"/>
  <c r="W60" i="1" s="1"/>
  <c r="G60" i="1" s="1"/>
  <c r="AC60" i="1" s="1"/>
  <c r="U61" i="1"/>
  <c r="V61" i="1" s="1"/>
  <c r="W61" i="1" s="1"/>
  <c r="U62" i="1"/>
  <c r="V62" i="1" s="1"/>
  <c r="W62" i="1" s="1"/>
  <c r="Z62" i="1" s="1"/>
  <c r="U63" i="1"/>
  <c r="V63" i="1" s="1"/>
  <c r="W63" i="1" s="1"/>
  <c r="Z63" i="1" s="1"/>
  <c r="U64" i="1"/>
  <c r="V64" i="1" s="1"/>
  <c r="W64" i="1" s="1"/>
  <c r="U65" i="1"/>
  <c r="V65" i="1" s="1"/>
  <c r="W65" i="1" s="1"/>
  <c r="X65" i="1" s="1"/>
  <c r="U8" i="1"/>
  <c r="V8" i="1" s="1"/>
  <c r="W8" i="1" s="1"/>
  <c r="U9" i="1"/>
  <c r="V9" i="1" s="1"/>
  <c r="W9" i="1" s="1"/>
  <c r="X9" i="1" s="1"/>
  <c r="U3" i="1"/>
  <c r="V3" i="1" s="1"/>
  <c r="W3" i="1" s="1"/>
  <c r="U4" i="1"/>
  <c r="V4" i="1" s="1"/>
  <c r="W4" i="1" s="1"/>
  <c r="U5" i="1"/>
  <c r="V5" i="1" s="1"/>
  <c r="W5" i="1" s="1"/>
  <c r="U6" i="1"/>
  <c r="V6" i="1" s="1"/>
  <c r="W6" i="1" s="1"/>
  <c r="U7" i="1"/>
  <c r="V7" i="1" s="1"/>
  <c r="W7" i="1" s="1"/>
  <c r="U2" i="1"/>
  <c r="V2" i="1" s="1"/>
  <c r="W2" i="1" s="1"/>
  <c r="R101" i="1"/>
  <c r="R100" i="1"/>
  <c r="R99" i="1"/>
  <c r="R97" i="1"/>
  <c r="R96" i="1"/>
  <c r="R95" i="1"/>
  <c r="R94" i="1"/>
  <c r="R93" i="1"/>
  <c r="R89" i="1"/>
  <c r="R87" i="1"/>
  <c r="R86" i="1"/>
  <c r="R85" i="1"/>
  <c r="R84" i="1"/>
  <c r="R83" i="1"/>
  <c r="R82" i="1"/>
  <c r="R81" i="1"/>
  <c r="R80" i="1"/>
  <c r="R78" i="1"/>
  <c r="R77" i="1"/>
  <c r="R76" i="1"/>
  <c r="R74" i="1"/>
  <c r="R73" i="1"/>
  <c r="R72" i="1"/>
  <c r="R71" i="1"/>
  <c r="R70" i="1"/>
  <c r="R69" i="1"/>
  <c r="R68" i="1"/>
  <c r="R67" i="1"/>
  <c r="R64" i="1"/>
  <c r="R63" i="1"/>
  <c r="R61" i="1"/>
  <c r="R60" i="1"/>
  <c r="R59" i="1"/>
  <c r="R58" i="1"/>
  <c r="R56" i="1"/>
  <c r="R55" i="1"/>
  <c r="R54" i="1"/>
  <c r="R53" i="1"/>
  <c r="R52" i="1"/>
  <c r="R51" i="1"/>
  <c r="R50" i="1"/>
  <c r="R49" i="1"/>
  <c r="R48" i="1"/>
  <c r="R47" i="1"/>
  <c r="R46" i="1"/>
  <c r="R45" i="1"/>
  <c r="R43" i="1"/>
  <c r="R42" i="1"/>
  <c r="R40" i="1"/>
  <c r="R39" i="1"/>
  <c r="R38" i="1"/>
  <c r="R36" i="1"/>
  <c r="R35" i="1"/>
  <c r="R34" i="1"/>
  <c r="R33" i="1"/>
  <c r="R32" i="1"/>
  <c r="R31" i="1"/>
  <c r="R30" i="1"/>
  <c r="R29" i="1"/>
  <c r="R28" i="1"/>
  <c r="R27" i="1"/>
  <c r="R25" i="1"/>
  <c r="R24" i="1"/>
  <c r="R23" i="1"/>
  <c r="R22" i="1"/>
  <c r="R21" i="1"/>
  <c r="R20" i="1"/>
  <c r="R19" i="1"/>
  <c r="R18" i="1"/>
  <c r="R17" i="1"/>
  <c r="R16" i="1"/>
  <c r="R15" i="1"/>
  <c r="R14" i="1"/>
  <c r="R13" i="1"/>
  <c r="R12" i="1"/>
  <c r="R11" i="1"/>
  <c r="R10" i="1"/>
  <c r="R9" i="1"/>
  <c r="R8" i="1"/>
  <c r="R7" i="1"/>
  <c r="R6" i="1"/>
  <c r="R5" i="1"/>
  <c r="R4" i="1"/>
  <c r="R3" i="1"/>
  <c r="R2" i="1"/>
  <c r="N2" i="1"/>
  <c r="AA77" i="1"/>
  <c r="AB77" i="1" s="1"/>
  <c r="AA66" i="1"/>
  <c r="AB66" i="1" s="1"/>
  <c r="AA82" i="1"/>
  <c r="AB82" i="1" s="1"/>
  <c r="AA98" i="1"/>
  <c r="AA97" i="1"/>
  <c r="AB97" i="1" s="1"/>
  <c r="AA46" i="1"/>
  <c r="AB46" i="1" s="1"/>
  <c r="AA12" i="1"/>
  <c r="AA87" i="1"/>
  <c r="AB87" i="1" s="1"/>
  <c r="AA71" i="1"/>
  <c r="AB71" i="1" s="1"/>
  <c r="AA55" i="1"/>
  <c r="AB55" i="1" s="1"/>
  <c r="AA39" i="1"/>
  <c r="AA23" i="1"/>
  <c r="AB23" i="1" s="1"/>
  <c r="AA5" i="1"/>
  <c r="AB5" i="1" s="1"/>
  <c r="AA90" i="1"/>
  <c r="AB90" i="1" s="1"/>
  <c r="AA74" i="1"/>
  <c r="AB74" i="1" s="1"/>
  <c r="AA58" i="1"/>
  <c r="AA42" i="1"/>
  <c r="AB42" i="1" s="1"/>
  <c r="AA73" i="1"/>
  <c r="AB73" i="1" s="1"/>
  <c r="AA9" i="1"/>
  <c r="AB9" i="1" s="1"/>
  <c r="AA88" i="1"/>
  <c r="AB88" i="1" s="1"/>
  <c r="AA72" i="1"/>
  <c r="AB72" i="1" s="1"/>
  <c r="AA8" i="1"/>
  <c r="AB8" i="1" s="1"/>
  <c r="AA86" i="1"/>
  <c r="AB86" i="1" s="1"/>
  <c r="AA70" i="1"/>
  <c r="AB70" i="1" s="1"/>
  <c r="AA54" i="1"/>
  <c r="AB54" i="1" s="1"/>
  <c r="AA38" i="1"/>
  <c r="AB38" i="1" s="1"/>
  <c r="AA101" i="1"/>
  <c r="AB101" i="1" s="1"/>
  <c r="AA85" i="1"/>
  <c r="AA69" i="1"/>
  <c r="AB69" i="1" s="1"/>
  <c r="AA53" i="1"/>
  <c r="AB53" i="1" s="1"/>
  <c r="AA37" i="1"/>
  <c r="AB37" i="1"/>
  <c r="AA21" i="1"/>
  <c r="AB21" i="1" s="1"/>
  <c r="AA84" i="1"/>
  <c r="AB84" i="1" s="1"/>
  <c r="AA68" i="1"/>
  <c r="AB68" i="1" s="1"/>
  <c r="AA52" i="1"/>
  <c r="AB52" i="1" s="1"/>
  <c r="AA36" i="1"/>
  <c r="AB36" i="1" s="1"/>
  <c r="AA20" i="1"/>
  <c r="AB20" i="1"/>
  <c r="AA4" i="1"/>
  <c r="AB4" i="1" s="1"/>
  <c r="AA99" i="1"/>
  <c r="AB99" i="1" s="1"/>
  <c r="AA83" i="1"/>
  <c r="AB83" i="1" s="1"/>
  <c r="AA67" i="1"/>
  <c r="AB67" i="1" s="1"/>
  <c r="AA51" i="1"/>
  <c r="AB51" i="1" s="1"/>
  <c r="AA35" i="1"/>
  <c r="AB35" i="1" s="1"/>
  <c r="AA19" i="1"/>
  <c r="AB19" i="1" s="1"/>
  <c r="AA3" i="1"/>
  <c r="AA50" i="1"/>
  <c r="AB50" i="1" s="1"/>
  <c r="AA34" i="1"/>
  <c r="AB34" i="1" s="1"/>
  <c r="AA18" i="1"/>
  <c r="AB18" i="1" s="1"/>
  <c r="AA2" i="1"/>
  <c r="AB2" i="1" s="1"/>
  <c r="C10" i="12"/>
  <c r="C2" i="12"/>
  <c r="C14" i="12"/>
  <c r="C6" i="12"/>
  <c r="G61" i="1" l="1"/>
  <c r="AC61" i="1" s="1"/>
  <c r="Z61" i="1"/>
  <c r="X30" i="1"/>
  <c r="X28" i="1"/>
  <c r="Z56" i="1"/>
  <c r="G77" i="1"/>
  <c r="AC77" i="1" s="1"/>
  <c r="X13" i="1"/>
  <c r="Z60" i="1"/>
  <c r="X31" i="1"/>
  <c r="X29" i="1"/>
  <c r="X14" i="1"/>
  <c r="G78" i="1"/>
  <c r="AC78" i="1" s="1"/>
  <c r="X78" i="1"/>
  <c r="Z78" i="1"/>
  <c r="X64" i="1"/>
  <c r="Z64" i="1"/>
  <c r="X50" i="1"/>
  <c r="G50" i="1"/>
  <c r="AC50" i="1" s="1"/>
  <c r="Z50" i="1"/>
  <c r="X80" i="1"/>
  <c r="G80" i="1"/>
  <c r="AC80" i="1" s="1"/>
  <c r="Z79" i="1"/>
  <c r="X79" i="1"/>
  <c r="G79" i="1"/>
  <c r="AC79" i="1" s="1"/>
  <c r="G51" i="1"/>
  <c r="Z100" i="1"/>
  <c r="Z14" i="1"/>
  <c r="G30" i="1"/>
  <c r="AC30" i="1" s="1"/>
  <c r="Z93" i="1"/>
  <c r="Z13" i="1"/>
  <c r="G29" i="1"/>
  <c r="AC29" i="1" s="1"/>
  <c r="Z31" i="1"/>
  <c r="X93" i="1"/>
  <c r="Z92" i="1"/>
  <c r="G96" i="1"/>
  <c r="AC96" i="1" s="1"/>
  <c r="G28" i="1"/>
  <c r="AC28" i="1" s="1"/>
  <c r="X83" i="1"/>
  <c r="G81" i="1"/>
  <c r="AC81" i="1" s="1"/>
  <c r="G52" i="1"/>
  <c r="X92" i="1"/>
  <c r="Z91" i="1"/>
  <c r="G83" i="1"/>
  <c r="X72" i="1"/>
  <c r="Z4" i="1"/>
  <c r="G4" i="1"/>
  <c r="AC4" i="1" s="1"/>
  <c r="X4" i="1"/>
  <c r="G3" i="1"/>
  <c r="Z3" i="1"/>
  <c r="X3" i="1"/>
  <c r="X82" i="1"/>
  <c r="Z82" i="1"/>
  <c r="G82" i="1"/>
  <c r="AC82" i="1" s="1"/>
  <c r="G11" i="1"/>
  <c r="AC11" i="1" s="1"/>
  <c r="Z11" i="1"/>
  <c r="X11" i="1"/>
  <c r="Z19" i="1"/>
  <c r="X19" i="1"/>
  <c r="G19" i="1"/>
  <c r="G40" i="1"/>
  <c r="AC40" i="1" s="1"/>
  <c r="X40" i="1"/>
  <c r="Z40" i="1"/>
  <c r="Z39" i="1"/>
  <c r="G39" i="1"/>
  <c r="AC39" i="1" s="1"/>
  <c r="X39" i="1"/>
  <c r="Z68" i="1"/>
  <c r="X68" i="1"/>
  <c r="G68" i="1"/>
  <c r="AC35" i="1" s="1"/>
  <c r="Z38" i="1"/>
  <c r="G38" i="1"/>
  <c r="AC38" i="1" s="1"/>
  <c r="X38" i="1"/>
  <c r="Z67" i="1"/>
  <c r="X67" i="1"/>
  <c r="G67" i="1"/>
  <c r="Z7" i="1"/>
  <c r="X7" i="1"/>
  <c r="G7" i="1"/>
  <c r="AC7" i="1" s="1"/>
  <c r="X66" i="1"/>
  <c r="Z66" i="1"/>
  <c r="G66" i="1"/>
  <c r="AC66" i="1" s="1"/>
  <c r="G89" i="1"/>
  <c r="AC89" i="1" s="1"/>
  <c r="Z89" i="1"/>
  <c r="X89" i="1"/>
  <c r="G90" i="1"/>
  <c r="AC90" i="1" s="1"/>
  <c r="Z90" i="1"/>
  <c r="X90" i="1"/>
  <c r="G88" i="1"/>
  <c r="AC88" i="1" s="1"/>
  <c r="Z88" i="1"/>
  <c r="X88" i="1"/>
  <c r="G59" i="1"/>
  <c r="AC59" i="1" s="1"/>
  <c r="X59" i="1"/>
  <c r="Z59" i="1"/>
  <c r="G58" i="1"/>
  <c r="AC58" i="1" s="1"/>
  <c r="X58" i="1"/>
  <c r="Z58" i="1"/>
  <c r="Z2" i="1"/>
  <c r="G94" i="1"/>
  <c r="AC94" i="1" s="1"/>
  <c r="X2" i="1"/>
  <c r="G95" i="1"/>
  <c r="G2" i="1"/>
  <c r="Z94" i="1"/>
  <c r="G57" i="1"/>
  <c r="AC57" i="1" s="1"/>
  <c r="X57" i="1"/>
  <c r="Z57" i="1"/>
  <c r="G41" i="1"/>
  <c r="AC41" i="1" s="1"/>
  <c r="X41" i="1"/>
  <c r="Z41" i="1"/>
  <c r="G25" i="1"/>
  <c r="AC25" i="1" s="1"/>
  <c r="X25" i="1"/>
  <c r="Z25" i="1"/>
  <c r="G74" i="1"/>
  <c r="AC74" i="1" s="1"/>
  <c r="X74" i="1"/>
  <c r="Z74" i="1"/>
  <c r="Z87" i="1"/>
  <c r="G87" i="1"/>
  <c r="AC87" i="1" s="1"/>
  <c r="X87" i="1"/>
  <c r="Z47" i="1"/>
  <c r="G47" i="1"/>
  <c r="AC47" i="1" s="1"/>
  <c r="X47" i="1"/>
  <c r="Z69" i="1"/>
  <c r="Z95" i="1"/>
  <c r="G10" i="1"/>
  <c r="AC10" i="1" s="1"/>
  <c r="Z10" i="1"/>
  <c r="G27" i="1"/>
  <c r="AC27" i="1" s="1"/>
  <c r="Z27" i="1"/>
  <c r="X27" i="1"/>
  <c r="G9" i="1"/>
  <c r="AC9" i="1" s="1"/>
  <c r="Z9" i="1"/>
  <c r="X37" i="1"/>
  <c r="G24" i="1"/>
  <c r="AC24" i="1" s="1"/>
  <c r="X24" i="1"/>
  <c r="G26" i="1"/>
  <c r="AC26" i="1" s="1"/>
  <c r="X26" i="1"/>
  <c r="X71" i="1"/>
  <c r="Z26" i="1"/>
  <c r="Z23" i="1"/>
  <c r="G23" i="1"/>
  <c r="AC23" i="1" s="1"/>
  <c r="X23" i="1"/>
  <c r="X69" i="1"/>
  <c r="Z24" i="1"/>
  <c r="Z53" i="1"/>
  <c r="X53" i="1"/>
  <c r="Z21" i="1"/>
  <c r="G21" i="1"/>
  <c r="AC21" i="1" s="1"/>
  <c r="X21" i="1"/>
  <c r="Z101" i="1"/>
  <c r="X101" i="1"/>
  <c r="Z86" i="1"/>
  <c r="G86" i="1"/>
  <c r="AC86" i="1" s="1"/>
  <c r="X86" i="1"/>
  <c r="X34" i="1"/>
  <c r="G34" i="1"/>
  <c r="AC34" i="1" s="1"/>
  <c r="X61" i="1"/>
  <c r="Z15" i="1"/>
  <c r="G37" i="1"/>
  <c r="AC37" i="1" s="1"/>
  <c r="X99" i="1"/>
  <c r="Z99" i="1"/>
  <c r="Z6" i="1"/>
  <c r="X6" i="1"/>
  <c r="G6" i="1"/>
  <c r="AC6" i="1" s="1"/>
  <c r="G84" i="1"/>
  <c r="AC84" i="1" s="1"/>
  <c r="Z84" i="1"/>
  <c r="X84" i="1"/>
  <c r="X32" i="1"/>
  <c r="G32" i="1"/>
  <c r="AC32" i="1" s="1"/>
  <c r="Z5" i="1"/>
  <c r="X5" i="1"/>
  <c r="G5" i="1"/>
  <c r="AC5" i="1" s="1"/>
  <c r="G42" i="1"/>
  <c r="AC42" i="1" s="1"/>
  <c r="Z42" i="1"/>
  <c r="Z80" i="1"/>
  <c r="G101" i="1"/>
  <c r="G69" i="1"/>
  <c r="AC69" i="1" s="1"/>
  <c r="X63" i="1"/>
  <c r="G63" i="1"/>
  <c r="AC63" i="1" s="1"/>
  <c r="G75" i="1"/>
  <c r="AC75" i="1" s="1"/>
  <c r="X75" i="1"/>
  <c r="Z75" i="1"/>
  <c r="X18" i="1"/>
  <c r="Z18" i="1"/>
  <c r="X55" i="1"/>
  <c r="G100" i="1"/>
  <c r="G55" i="1"/>
  <c r="AC55" i="1" s="1"/>
  <c r="G18" i="1"/>
  <c r="AC18" i="1" s="1"/>
  <c r="X62" i="1"/>
  <c r="G62" i="1"/>
  <c r="AC62" i="1" s="1"/>
  <c r="Z46" i="1"/>
  <c r="G46" i="1"/>
  <c r="AC46" i="1" s="1"/>
  <c r="X46" i="1"/>
  <c r="X76" i="1"/>
  <c r="Z76" i="1"/>
  <c r="X17" i="1"/>
  <c r="Z17" i="1"/>
  <c r="X42" i="1"/>
  <c r="X12" i="1"/>
  <c r="Z36" i="1"/>
  <c r="G99" i="1"/>
  <c r="G17" i="1"/>
  <c r="AC17" i="1" s="1"/>
  <c r="X98" i="1"/>
  <c r="Z98" i="1"/>
  <c r="X48" i="1"/>
  <c r="Z48" i="1"/>
  <c r="X16" i="1"/>
  <c r="Z16" i="1"/>
  <c r="Z77" i="1"/>
  <c r="Z35" i="1"/>
  <c r="G98" i="1"/>
  <c r="AC98" i="1" s="1"/>
  <c r="G53" i="1"/>
  <c r="AC53" i="1" s="1"/>
  <c r="G16" i="1"/>
  <c r="AC16" i="1" s="1"/>
  <c r="G44" i="1"/>
  <c r="AC44" i="1" s="1"/>
  <c r="X44" i="1"/>
  <c r="Z44" i="1"/>
  <c r="X97" i="1"/>
  <c r="Z97" i="1"/>
  <c r="G97" i="1"/>
  <c r="AC97" i="1" s="1"/>
  <c r="G15" i="1"/>
  <c r="AC15" i="1" s="1"/>
  <c r="G43" i="1"/>
  <c r="AC43" i="1" s="1"/>
  <c r="X43" i="1"/>
  <c r="Z43" i="1"/>
  <c r="AC67" i="1"/>
  <c r="G8" i="1"/>
  <c r="Z8" i="1"/>
  <c r="X8" i="1"/>
  <c r="X36" i="1"/>
  <c r="X70" i="1"/>
  <c r="X35" i="1"/>
  <c r="Z22" i="1"/>
  <c r="G22" i="1"/>
  <c r="X22" i="1"/>
  <c r="G20" i="1"/>
  <c r="AC20" i="1" s="1"/>
  <c r="X20" i="1"/>
  <c r="Z20" i="1"/>
  <c r="Z85" i="1"/>
  <c r="G85" i="1"/>
  <c r="AC85" i="1" s="1"/>
  <c r="X85" i="1"/>
  <c r="X33" i="1"/>
  <c r="G33" i="1"/>
  <c r="AC33" i="1" s="1"/>
  <c r="X60" i="1"/>
  <c r="Z52" i="1"/>
  <c r="Z51" i="1"/>
  <c r="Z12" i="1"/>
  <c r="G71" i="1"/>
  <c r="AC71" i="1" s="1"/>
  <c r="Z81" i="1"/>
  <c r="G70" i="1"/>
  <c r="AC70" i="1" s="1"/>
  <c r="Z54" i="1"/>
  <c r="X54" i="1"/>
  <c r="X91" i="1"/>
  <c r="X56" i="1"/>
  <c r="G45" i="1"/>
  <c r="AC45" i="1" s="1"/>
  <c r="X45" i="1"/>
  <c r="Z45" i="1"/>
  <c r="Z96" i="1"/>
  <c r="Z73" i="1"/>
  <c r="X49" i="1"/>
  <c r="Z49" i="1"/>
  <c r="X73" i="1"/>
  <c r="Z72" i="1"/>
  <c r="G65" i="1"/>
  <c r="AC65" i="1" s="1"/>
  <c r="Z65" i="1"/>
  <c r="G64" i="1"/>
  <c r="AC64" i="1" s="1"/>
  <c r="AC13" i="1"/>
  <c r="AC93" i="1"/>
  <c r="AC14" i="1"/>
  <c r="AC31" i="1"/>
  <c r="AC22" i="1"/>
  <c r="AC54" i="1"/>
  <c r="AC56" i="1"/>
  <c r="AC36" i="1"/>
  <c r="AB85" i="1"/>
  <c r="AC73" i="1"/>
  <c r="AB98" i="1"/>
  <c r="AB39" i="1"/>
  <c r="AB26" i="1"/>
  <c r="AB3" i="1"/>
  <c r="AB58" i="1"/>
  <c r="AB12" i="1"/>
  <c r="AB32" i="1"/>
  <c r="AC3" i="1" l="1"/>
  <c r="AC8" i="1"/>
  <c r="AC51" i="1"/>
  <c r="AC52" i="1"/>
  <c r="AC95" i="1"/>
  <c r="AC83" i="1"/>
  <c r="AC101" i="1"/>
  <c r="AC2" i="1"/>
  <c r="Y2" i="1"/>
  <c r="AC19" i="1"/>
  <c r="AC100" i="1"/>
  <c r="AC99" i="1"/>
  <c r="AC68"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<sst xmlns="http://schemas.openxmlformats.org/spreadsheetml/2006/main" count="726" uniqueCount="281">
  <si>
    <t>ID</t>
  </si>
  <si>
    <t xml:space="preserve"> Customer_Name</t>
  </si>
  <si>
    <t>Order_ID</t>
  </si>
  <si>
    <t>Order_Date</t>
  </si>
  <si>
    <t xml:space="preserve"> Product</t>
  </si>
  <si>
    <t>Category</t>
  </si>
  <si>
    <t>Quantity</t>
  </si>
  <si>
    <t>Price</t>
  </si>
  <si>
    <t>Payment_Method</t>
  </si>
  <si>
    <t>Status</t>
  </si>
  <si>
    <t>Total</t>
  </si>
  <si>
    <t>Customer_100</t>
  </si>
  <si>
    <t>ORD-41285</t>
  </si>
  <si>
    <t>Blender</t>
  </si>
  <si>
    <t>Home</t>
  </si>
  <si>
    <t>Cash on Delivery</t>
  </si>
  <si>
    <t>Shipped</t>
  </si>
  <si>
    <t>Customer_101</t>
  </si>
  <si>
    <t>ORD-35783</t>
  </si>
  <si>
    <t>Smartphone</t>
  </si>
  <si>
    <t>Electronics</t>
  </si>
  <si>
    <t>PayPal</t>
  </si>
  <si>
    <t>Processing</t>
  </si>
  <si>
    <t>Customer_102</t>
  </si>
  <si>
    <t>ORD-84355</t>
  </si>
  <si>
    <t>Tennis Racket</t>
  </si>
  <si>
    <t>Sports</t>
  </si>
  <si>
    <t>Delivered</t>
  </si>
  <si>
    <t>Customer_103</t>
  </si>
  <si>
    <t>ORD-57811</t>
  </si>
  <si>
    <t>Science</t>
  </si>
  <si>
    <t>Books</t>
  </si>
  <si>
    <t>Customer_104</t>
  </si>
  <si>
    <t>ORD-93614</t>
  </si>
  <si>
    <t>Biography</t>
  </si>
  <si>
    <t>Customer_105</t>
  </si>
  <si>
    <t>ORD-22442</t>
  </si>
  <si>
    <t>Cancelled</t>
  </si>
  <si>
    <t>Customer_106</t>
  </si>
  <si>
    <t>ORD-25885</t>
  </si>
  <si>
    <t>Bank Transfer</t>
  </si>
  <si>
    <t>Customer_107</t>
  </si>
  <si>
    <t>ORD-89122</t>
  </si>
  <si>
    <t>Returned</t>
  </si>
  <si>
    <t>Customer_108</t>
  </si>
  <si>
    <t>ORD-64400</t>
  </si>
  <si>
    <t>Customer_109</t>
  </si>
  <si>
    <t>ORD-18512</t>
  </si>
  <si>
    <t>Credit Card</t>
  </si>
  <si>
    <t>Customer_110</t>
  </si>
  <si>
    <t>ORD-61020</t>
  </si>
  <si>
    <t>Basketball</t>
  </si>
  <si>
    <t>Customer_111</t>
  </si>
  <si>
    <t>ORD-72349</t>
  </si>
  <si>
    <t>Comics</t>
  </si>
  <si>
    <t>Customer_112</t>
  </si>
  <si>
    <t>ORD-80867</t>
  </si>
  <si>
    <t>Shoes</t>
  </si>
  <si>
    <t>Clothing</t>
  </si>
  <si>
    <t>Customer_113</t>
  </si>
  <si>
    <t>ORD-23994</t>
  </si>
  <si>
    <t>Fiction</t>
  </si>
  <si>
    <t>Customer_114</t>
  </si>
  <si>
    <t>ORD-77417</t>
  </si>
  <si>
    <t>Jan 5 2023</t>
  </si>
  <si>
    <t>Customer_115</t>
  </si>
  <si>
    <t>ORD-72778</t>
  </si>
  <si>
    <t>Customer_116</t>
  </si>
  <si>
    <t>ORD-63660</t>
  </si>
  <si>
    <t>Microwave</t>
  </si>
  <si>
    <t>Customer_117</t>
  </si>
  <si>
    <t>ORD-72751</t>
  </si>
  <si>
    <t>Customer_118</t>
  </si>
  <si>
    <t>ORD-96061</t>
  </si>
  <si>
    <t>Customer_119</t>
  </si>
  <si>
    <t>ORD-76016</t>
  </si>
  <si>
    <t>Customer_120</t>
  </si>
  <si>
    <t>ORD-14659</t>
  </si>
  <si>
    <t>Yoga Mat</t>
  </si>
  <si>
    <t>Customer_121</t>
  </si>
  <si>
    <t>ORD-80067</t>
  </si>
  <si>
    <t>Customer_122</t>
  </si>
  <si>
    <t>ORD-21443</t>
  </si>
  <si>
    <t>Customer_123</t>
  </si>
  <si>
    <t>ORD-11314</t>
  </si>
  <si>
    <t>Vacuum</t>
  </si>
  <si>
    <t>Customer_124</t>
  </si>
  <si>
    <t>ORD-46136</t>
  </si>
  <si>
    <t>Customer_125</t>
  </si>
  <si>
    <t>ORD-23202</t>
  </si>
  <si>
    <t>Customer_126</t>
  </si>
  <si>
    <t>ORD-11261</t>
  </si>
  <si>
    <t>Customer_127</t>
  </si>
  <si>
    <t>ORD-65482</t>
  </si>
  <si>
    <t>Customer_128</t>
  </si>
  <si>
    <t>ORD-12270</t>
  </si>
  <si>
    <t>Lamp</t>
  </si>
  <si>
    <t>Customer_129</t>
  </si>
  <si>
    <t>ORD-48863</t>
  </si>
  <si>
    <t>Customer_130</t>
  </si>
  <si>
    <t>ORD-34007</t>
  </si>
  <si>
    <t>Customer_131</t>
  </si>
  <si>
    <t>ORD-91396</t>
  </si>
  <si>
    <t>Customer_132</t>
  </si>
  <si>
    <t>ORD-40186</t>
  </si>
  <si>
    <t>Customer_133</t>
  </si>
  <si>
    <t>ORD-68182</t>
  </si>
  <si>
    <t>Customer_134</t>
  </si>
  <si>
    <t>ORD-16585</t>
  </si>
  <si>
    <t>T-shirt</t>
  </si>
  <si>
    <t>Customer_135</t>
  </si>
  <si>
    <t>ORD-33656</t>
  </si>
  <si>
    <t>Smartwatch</t>
  </si>
  <si>
    <t>Customer_136</t>
  </si>
  <si>
    <t>ORD-20985</t>
  </si>
  <si>
    <t>Headphones</t>
  </si>
  <si>
    <t>Customer_137</t>
  </si>
  <si>
    <t>ORD-91254</t>
  </si>
  <si>
    <t>Customer_138</t>
  </si>
  <si>
    <t>ORD-34319</t>
  </si>
  <si>
    <t>Customer_139</t>
  </si>
  <si>
    <t>ORD-38418</t>
  </si>
  <si>
    <t>Customer_140</t>
  </si>
  <si>
    <t>ORD-67096</t>
  </si>
  <si>
    <t>Customer_141</t>
  </si>
  <si>
    <t>ORD-45059</t>
  </si>
  <si>
    <t>Customer_142</t>
  </si>
  <si>
    <t>ORD-69018</t>
  </si>
  <si>
    <t>Customer_143</t>
  </si>
  <si>
    <t>ORD-14329</t>
  </si>
  <si>
    <t>Customer_144</t>
  </si>
  <si>
    <t>ORD-89452</t>
  </si>
  <si>
    <t>Football</t>
  </si>
  <si>
    <t>Customer_145</t>
  </si>
  <si>
    <t>ORD-75314</t>
  </si>
  <si>
    <t>Laptop</t>
  </si>
  <si>
    <t>Customer_146</t>
  </si>
  <si>
    <t>ORD-32755</t>
  </si>
  <si>
    <t>Customer_147</t>
  </si>
  <si>
    <t>ORD-80707</t>
  </si>
  <si>
    <t>Jacket</t>
  </si>
  <si>
    <t>Customer_148</t>
  </si>
  <si>
    <t>ORD-38423</t>
  </si>
  <si>
    <t>Customer_149</t>
  </si>
  <si>
    <t>ORD-95911</t>
  </si>
  <si>
    <t>Customer_150</t>
  </si>
  <si>
    <t>ORD-76902</t>
  </si>
  <si>
    <t>Customer_151</t>
  </si>
  <si>
    <t>ORD-56552</t>
  </si>
  <si>
    <t>Customer_152</t>
  </si>
  <si>
    <t>ORD-72869</t>
  </si>
  <si>
    <t>Customer_153</t>
  </si>
  <si>
    <t>ORD-29721</t>
  </si>
  <si>
    <t>Customer_154</t>
  </si>
  <si>
    <t>ORD-95990</t>
  </si>
  <si>
    <t>Customer_155</t>
  </si>
  <si>
    <t>ORD-20182</t>
  </si>
  <si>
    <t>shoes</t>
  </si>
  <si>
    <t>Customer_156</t>
  </si>
  <si>
    <t>ORD-34679</t>
  </si>
  <si>
    <t>Jeans</t>
  </si>
  <si>
    <t>Customer_157</t>
  </si>
  <si>
    <t>ORD-34407</t>
  </si>
  <si>
    <t>Customer_158</t>
  </si>
  <si>
    <t>ORD-35817</t>
  </si>
  <si>
    <t>Customer_159</t>
  </si>
  <si>
    <t>ORD-98162</t>
  </si>
  <si>
    <t>Customer_160</t>
  </si>
  <si>
    <t>ORD-96037</t>
  </si>
  <si>
    <t>Customer_161</t>
  </si>
  <si>
    <t>ORD-27653</t>
  </si>
  <si>
    <t>Customer_162</t>
  </si>
  <si>
    <t>ORD-27743</t>
  </si>
  <si>
    <t>Customer_163</t>
  </si>
  <si>
    <t>ORD-24378</t>
  </si>
  <si>
    <t>Customer_164</t>
  </si>
  <si>
    <t>ORD-23010</t>
  </si>
  <si>
    <t>Customer_165</t>
  </si>
  <si>
    <t>ORD-55695</t>
  </si>
  <si>
    <t>Customer_166</t>
  </si>
  <si>
    <t>ORD-97756</t>
  </si>
  <si>
    <t>Customer_167</t>
  </si>
  <si>
    <t>ORD-30329</t>
  </si>
  <si>
    <t>Customer_168</t>
  </si>
  <si>
    <t>ORD-53430</t>
  </si>
  <si>
    <t>Customer_169</t>
  </si>
  <si>
    <t>ORD-75539</t>
  </si>
  <si>
    <t>Customer_170</t>
  </si>
  <si>
    <t>ORD-21530</t>
  </si>
  <si>
    <t>Customer_171</t>
  </si>
  <si>
    <t>ORD-99790</t>
  </si>
  <si>
    <t>Customer_172</t>
  </si>
  <si>
    <t>ORD-48008</t>
  </si>
  <si>
    <t>Customer_173</t>
  </si>
  <si>
    <t>ORD-42171</t>
  </si>
  <si>
    <t>Customer_174</t>
  </si>
  <si>
    <t>ORD-16766</t>
  </si>
  <si>
    <t>Customer_175</t>
  </si>
  <si>
    <t>ORD-56651</t>
  </si>
  <si>
    <t>Customer_176</t>
  </si>
  <si>
    <t>ORD-95794</t>
  </si>
  <si>
    <t>Customer_177</t>
  </si>
  <si>
    <t>ORD-64136</t>
  </si>
  <si>
    <t>Customer_178</t>
  </si>
  <si>
    <t>ORD-89906</t>
  </si>
  <si>
    <t>Customer_179</t>
  </si>
  <si>
    <t>ORD-99328</t>
  </si>
  <si>
    <t>Customer_180</t>
  </si>
  <si>
    <t>ORD-86629</t>
  </si>
  <si>
    <t>Customer_181</t>
  </si>
  <si>
    <t>ORD-54481</t>
  </si>
  <si>
    <t>Customer_182</t>
  </si>
  <si>
    <t>ORD-79672</t>
  </si>
  <si>
    <t>Customer_183</t>
  </si>
  <si>
    <t>ORD-20916</t>
  </si>
  <si>
    <t>Customer_184</t>
  </si>
  <si>
    <t>ORD-67799</t>
  </si>
  <si>
    <t>Customer_185</t>
  </si>
  <si>
    <t>ORD-57123</t>
  </si>
  <si>
    <t>Customer_186</t>
  </si>
  <si>
    <t>ORD-90569</t>
  </si>
  <si>
    <t>Customer_187</t>
  </si>
  <si>
    <t>ORD-41292</t>
  </si>
  <si>
    <t>Customer_188</t>
  </si>
  <si>
    <t>ORD-58590</t>
  </si>
  <si>
    <t>Customer_189</t>
  </si>
  <si>
    <t>ORD-30627</t>
  </si>
  <si>
    <t>Customer_190</t>
  </si>
  <si>
    <t>ORD-38469</t>
  </si>
  <si>
    <t>Customer_191</t>
  </si>
  <si>
    <t>ORD-41810</t>
  </si>
  <si>
    <t>Customer_192</t>
  </si>
  <si>
    <t>ORD-35144</t>
  </si>
  <si>
    <t>abc</t>
  </si>
  <si>
    <t>4a</t>
  </si>
  <si>
    <t>Customer_193</t>
  </si>
  <si>
    <t>ORD-42475</t>
  </si>
  <si>
    <t>Customer_194</t>
  </si>
  <si>
    <t>ORD-69764</t>
  </si>
  <si>
    <t>Customer_195</t>
  </si>
  <si>
    <t>ORD-82876</t>
  </si>
  <si>
    <t>Customer_196</t>
  </si>
  <si>
    <t>ORD-78384</t>
  </si>
  <si>
    <t>Customer_197</t>
  </si>
  <si>
    <t>ORD-79139</t>
  </si>
  <si>
    <t>Customer_198</t>
  </si>
  <si>
    <t>ORD-14608</t>
  </si>
  <si>
    <t>Customer_199</t>
  </si>
  <si>
    <t>ORD-82922</t>
  </si>
  <si>
    <t>Row Labels</t>
  </si>
  <si>
    <t>Grand Total</t>
  </si>
  <si>
    <t>Sum of Total</t>
  </si>
  <si>
    <t>Count of Order_ID</t>
  </si>
  <si>
    <t>2025</t>
  </si>
  <si>
    <t>Column Labels</t>
  </si>
  <si>
    <t>Category Revenue</t>
  </si>
  <si>
    <t>Count</t>
  </si>
  <si>
    <t>Revenue</t>
  </si>
  <si>
    <t xml:space="preserve">Category </t>
  </si>
  <si>
    <t>Order Status</t>
  </si>
  <si>
    <t>May</t>
  </si>
  <si>
    <t>Jun</t>
  </si>
  <si>
    <t>Nov</t>
  </si>
  <si>
    <t>Monthly Revenue 2025</t>
  </si>
  <si>
    <t>Top 10 Products</t>
  </si>
  <si>
    <t>Methods</t>
  </si>
  <si>
    <t>Payment Methods</t>
  </si>
  <si>
    <t>category x Status Revenue Matrix</t>
  </si>
  <si>
    <t>Clothing Products</t>
  </si>
  <si>
    <t>Products</t>
  </si>
  <si>
    <t>Feb</t>
  </si>
  <si>
    <t>Jul</t>
  </si>
  <si>
    <t>Aug</t>
  </si>
  <si>
    <t>Sep</t>
  </si>
  <si>
    <t>Oct</t>
  </si>
  <si>
    <t>(All)</t>
  </si>
  <si>
    <t>Jan</t>
  </si>
  <si>
    <t>Mar</t>
  </si>
  <si>
    <t>Apr</t>
  </si>
  <si>
    <t>Sum of Quantity</t>
  </si>
  <si>
    <t>Average of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</si>
</sst>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 #,##0.00"/>
  </numFmts>
  <fonts count="4" x14ac:knownFonts="1">
    <font>
      <sz val="11"/>
      <color theme="1"/>
      <name val="Calibri"/>
      <family val="2"/>
      <scheme val="minor"/>
    </font>
    <font>
      <sz val="8"/>
      <name val="Calibri"/>
      <family val="2"/>
      <scheme val="minor"/>
    </font>
    <font>
      <b/>
      <sz val="11"/>
      <color theme="0"/>
      <name val="Calibri"/>
      <family val="2"/>
      <scheme val="minor"/>
    </font>
    <font>
      <sz val="11"/>
      <color theme="1"/>
      <name val="Calibri"/>
      <scheme val="minor"/>
    </font>
  </fonts>
  <fills count="9">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rgb="FFFFFF00"/>
        <bgColor indexed="64"/>
      </patternFill>
    </fill>
    <fill>
      <patternFill patternType="solid">
        <fgColor rgb="FFFFFFFF"/>
        <bgColor indexed="64"/>
      </patternFill>
    </fill>
    <fill>
      <patternFill patternType="solid">
        <fgColor theme="0"/>
        <bgColor indexed="64"/>
      </patternFill>
    </fill>
    <fill>
      <gradientFill degree="180">
        <stop position="0">
          <color theme="0"/>
        </stop>
        <stop position="1">
          <color rgb="FF9532C2"/>
        </stop>
      </gradientFill>
    </fill>
    <fill>
      <patternFill patternType="solid">
        <fgColor rgb="FFD93BAC"/>
        <bgColor indexed="64"/>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8">
    <xf numFmtId="0" fontId="0" fillId="0" borderId="0" xfId="0"/>
    <xf numFmtId="14" fontId="0" fillId="0" borderId="0" xfId="0" applyNumberFormat="1"/>
    <xf numFmtId="164" fontId="0" fillId="0" borderId="0" xfId="0" applyNumberFormat="1"/>
    <xf numFmtId="0" fontId="2" fillId="2" borderId="1" xfId="0" applyFont="1" applyFill="1" applyBorder="1"/>
    <xf numFmtId="14" fontId="0" fillId="3" borderId="1" xfId="0" applyNumberFormat="1" applyFill="1" applyBorder="1"/>
    <xf numFmtId="14" fontId="0" fillId="0" borderId="1" xfId="0" applyNumberFormat="1" applyBorder="1"/>
    <xf numFmtId="2" fontId="0" fillId="0" borderId="0" xfId="0" applyNumberFormat="1"/>
    <xf numFmtId="0" fontId="0" fillId="0" borderId="0" xfId="0" pivotButton="1"/>
    <xf numFmtId="0" fontId="0" fillId="0" borderId="0" xfId="0" applyAlignment="1">
      <alignment horizontal="left"/>
    </xf>
    <xf numFmtId="0" fontId="0" fillId="4" borderId="0" xfId="0" applyFill="1" applyAlignment="1">
      <alignment horizontal="center"/>
    </xf>
    <xf numFmtId="0" fontId="0" fillId="0" borderId="0" xfId="0" applyAlignment="1">
      <alignment horizontal="left" indent="1"/>
    </xf>
    <xf numFmtId="0" fontId="0" fillId="4" borderId="0" xfId="0" applyFill="1"/>
    <xf numFmtId="0" fontId="0" fillId="5" borderId="0" xfId="0" applyFill="1"/>
    <xf numFmtId="0" fontId="0" fillId="6" borderId="0" xfId="0" applyFill="1"/>
    <xf numFmtId="0" fontId="0" fillId="8" borderId="0" xfId="0" applyFill="1"/>
    <xf numFmtId="2" fontId="3" fillId="0" borderId="0" xfId="0" applyNumberFormat="1" applyFont="1"/>
    <xf numFmtId="0" fontId="0" fillId="7" borderId="0" xfId="0" applyFill="1" applyAlignment="1">
      <alignment horizontal="center"/>
    </xf>
    <xf numFmtId="0" fontId="0" fillId="4" borderId="0" xfId="0" applyFill="1" applyAlignment="1">
      <alignment horizontal="center"/>
    </xf>
  </cellXfs>
  <cellStyles count="1">
    <cellStyle name="Normal" xfId="0" builtinId="0"/>
  </cellStyles>
  <dxfs count="13">
    <dxf>
      <numFmt numFmtId="164" formatCode="&quot;₹&quot;\ #,##0.00"/>
    </dxf>
    <dxf>
      <numFmt numFmtId="2" formatCode="0.00"/>
    </dxf>
    <dxf>
      <font>
        <name val="Calibri"/>
        <scheme val="minor"/>
      </font>
    </dxf>
    <dxf>
      <numFmt numFmtId="2" formatCode="0.00"/>
    </dxf>
    <dxf>
      <numFmt numFmtId="164" formatCode="&quot;₹&quot;\ #,##0.00"/>
    </dxf>
    <dxf>
      <numFmt numFmtId="164" formatCode="&quot;₹&quot;\ #,##0.00"/>
    </dxf>
    <dxf>
      <numFmt numFmtId="2" formatCode="0.00"/>
    </dxf>
    <dxf>
      <numFmt numFmtId="19" formatCode="dd/mm/yyyy"/>
    </dxf>
    <dxf>
      <font>
        <b/>
        <sz val="11"/>
        <color theme="1"/>
      </font>
    </dxf>
    <dxf>
      <fill>
        <gradientFill degree="90">
          <stop position="0">
            <color rgb="FFF5A5D1"/>
          </stop>
          <stop position="1">
            <color theme="0"/>
          </stop>
        </gradientFill>
      </fill>
      <border>
        <left style="thin">
          <color theme="1" tint="-0.499984740745262"/>
        </left>
        <right style="thin">
          <color theme="1" tint="-0.499984740745262"/>
        </right>
        <top style="thin">
          <color theme="1" tint="-0.499984740745262"/>
        </top>
        <bottom style="thin">
          <color theme="1" tint="-0.499984740745262"/>
        </bottom>
      </border>
    </dxf>
    <dxf>
      <fill>
        <gradientFill degree="270">
          <stop position="0">
            <color theme="0"/>
          </stop>
          <stop position="1">
            <color rgb="FFF7B3E7"/>
          </stop>
        </gradientFill>
      </fill>
    </dxf>
    <dxf>
      <fill>
        <gradientFill degree="270">
          <stop position="0">
            <color theme="0"/>
          </stop>
          <stop position="1">
            <color rgb="FFF494DD"/>
          </stop>
        </gradientFill>
      </fill>
    </dxf>
    <dxf>
      <fill>
        <patternFill>
          <bgColor rgb="FFFFFF00"/>
        </patternFill>
      </fill>
    </dxf>
  </dxfs>
  <tableStyles count="5" defaultTableStyle="TableStyleMedium2" defaultPivotStyle="PivotStyleLight16">
    <tableStyle name="Slicer Style 1" pivot="0" table="0" count="1" xr9:uid="{ADDCEBEF-CBB1-4854-BE58-13E21905C0AA}">
      <tableStyleElement type="headerRow" dxfId="12"/>
    </tableStyle>
    <tableStyle name="Slicer Style 2" pivot="0" table="0" count="1" xr9:uid="{62BD3E48-9612-4E14-9A5E-8B992C64D61C}"/>
    <tableStyle name="Slicer Style 3" pivot="0" table="0" count="2" xr9:uid="{A4D154F3-FDD4-480F-A808-9B0C54C4D342}">
      <tableStyleElement type="wholeTable" dxfId="11"/>
    </tableStyle>
    <tableStyle name="Slicer Style 4" pivot="0" table="0" count="1" xr9:uid="{16454F4A-24A0-4753-8DE6-884594E8A1CF}">
      <tableStyleElement type="wholeTable" dxfId="10"/>
    </tableStyle>
    <tableStyle name="Timeline Style 4" pivot="0" table="0" count="8" xr9:uid="{3CBEAD52-283A-4EEA-A94A-C5000AE8D38A}">
      <tableStyleElement type="wholeTable" dxfId="9"/>
      <tableStyleElement type="headerRow" dxfId="8"/>
    </tableStyle>
  </tableStyles>
  <colors>
    <mruColors>
      <color rgb="FFD93BAC"/>
      <color rgb="FFF7B3E7"/>
      <color rgb="FFF282D7"/>
      <color rgb="FF9532C2"/>
      <color rgb="FFB143A4"/>
      <color rgb="FFF494DD"/>
      <color rgb="FFF5A5D1"/>
      <color rgb="FFE93F9C"/>
      <color rgb="FFFF66FF"/>
      <color rgb="FFE056AF"/>
    </mruColors>
  </colors>
  <extLst>
    <ext xmlns:x14="http://schemas.microsoft.com/office/spreadsheetml/2009/9/main" uri="{46F421CA-312F-682f-3DD2-61675219B42D}">
      <x14:dxfs count="2">
        <dxf>
          <fill>
            <gradientFill degree="270">
              <stop position="0">
                <color theme="0"/>
              </stop>
              <stop position="1">
                <color rgb="FF9532C2"/>
              </stop>
            </gradientFill>
          </fill>
        </dxf>
        <dxf>
          <fill>
            <patternFill>
              <bgColor rgb="FF7030A0"/>
            </patternFill>
          </fill>
        </dxf>
      </x14:dxfs>
    </ext>
    <ext xmlns:x14="http://schemas.microsoft.com/office/spreadsheetml/2009/9/main" uri="{EB79DEF2-80B8-43e5-95BD-54CBDDF9020C}">
      <x14:slicerStyles defaultSlicerStyle="SlicerStyleLight1">
        <x14:slicerStyle name="Slicer Style 1"/>
        <x14:slicerStyle name="Slicer Style 2">
          <x14:slicerStyleElements>
            <x14:slicerStyleElement type="selectedItemWithData" dxfId="1"/>
          </x14:slicerStyleElements>
        </x14:slicerStyle>
        <x14:slicerStyle name="Slicer Style 3">
          <x14:slicerStyleElements>
            <x14:slicerStyleElement type="selectedItemWithData" dxfId="0"/>
          </x14:slicerStyleElements>
        </x14:slicerStyle>
        <x14:slicerStyle name="Slicer Style 4"/>
      </x14:slicerStyles>
    </ext>
    <ext xmlns:x15="http://schemas.microsoft.com/office/spreadsheetml/2010/11/main" uri="{A0A4C193-F2C1-4fcb-8827-314CF55A85BB}">
      <x15:dxfs count="6">
        <dxf>
          <fill>
            <patternFill patternType="solid">
              <fgColor theme="0" tint="-0.14999847407452621"/>
              <bgColor theme="0" tint="-0.14999847407452621"/>
            </patternFill>
          </fill>
        </dxf>
        <dxf>
          <fill>
            <gradientFill degree="270">
              <stop position="0">
                <color rgb="FF9532C2"/>
              </stop>
              <stop position="1">
                <color rgb="FF9532C2"/>
              </stop>
            </gradient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Timeline Style 4">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eetMetadata" Target="metadata.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11/relationships/timelineCache" Target="timelineCaches/timelineCach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[Project-Dashboard.xlsx]Pivot-Table!PivotTable2</c:name>
    <c:fmtId val="0"/>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IN"/>
              <a:t>Order Status Distribution</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pivotFmt>
      <c:pivotFmt>
        <c:idx val="2"/>
        <c:spPr>
          <a:solidFill>
            <a:schemeClr val="accent1"/>
          </a:solidFill>
          <a:ln>
            <a:noFill/>
          </a:ln>
          <a:effectLst>
            <a:outerShdw blurRad="317500" algn="ctr" rotWithShape="0">
              <a:prstClr val="black">
                <a:alpha val="25000"/>
              </a:prstClr>
            </a:outerShdw>
          </a:effectLst>
        </c:spPr>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pivotFmt>
      <c:pivotFmt>
        <c:idx val="6"/>
        <c:spPr>
          <a:solidFill>
            <a:schemeClr val="accent1"/>
          </a:solidFill>
          <a:ln>
            <a:noFill/>
          </a:ln>
          <a:effectLst>
            <a:outerShdw blurRad="317500" algn="ctr" rotWithShape="0">
              <a:prstClr val="black">
                <a:alpha val="25000"/>
              </a:prstClr>
            </a:outerShdw>
          </a:effectLst>
        </c:spPr>
      </c:pivotFmt>
    </c:pivotFmts>
    <c:plotArea>
      <c:layout/>
      <c:doughnutChart>
        <c:varyColors val="1"/>
        <c:ser>
          <c:idx val="0"/>
          <c:order val="0"/>
          <c:tx>
            <c:strRef>
              <c:f>'Pivot-Table'!$H$2</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8DA6-4D03-A3AE-25236E1EBDFC}"/>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8DA6-4D03-A3AE-25236E1EBDFC}"/>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8DA6-4D03-A3AE-25236E1EBDFC}"/>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8DA6-4D03-A3AE-25236E1EBDFC}"/>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8DA6-4D03-A3AE-25236E1EBDFC}"/>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'Pivot-Table'!$G$3:$G$8</c:f>
              <c:strCache>
                <c:ptCount val="5"/>
                <c:pt idx="0">
                  <c:v>Cancelled</c:v>
                </c:pt>
                <c:pt idx="1">
                  <c:v>Delivered</c:v>
                </c:pt>
                <c:pt idx="2">
                  <c:v>Processing</c:v>
                </c:pt>
                <c:pt idx="3">
                  <c:v>Returned</c:v>
                </c:pt>
                <c:pt idx="4">
                  <c:v>Shipped</c:v>
                </c:pt>
              </c:strCache>
            </c:strRef>
          </c:cat>
          <c:val>
            <c:numRef>
              <c:f>'Pivot-Table'!$H$3:$H$8</c:f>
              <c:numCache>
                <c:formatCode>"₹"\ #,##0.00</c:formatCode>
                <c:ptCount val="5"/>
                <c:pt idx="0">
                  <c:v>31159.337802197802</c:v>
                </c:pt>
                <c:pt idx="1">
                  <c:v>16782.162813888241</c:v>
                </c:pt>
                <c:pt idx="2">
                  <c:v>55051.503773673132</c:v>
                </c:pt>
                <c:pt idx="3">
                  <c:v>44017.603262801022</c:v>
                </c:pt>
                <c:pt idx="4">
                  <c:v>36067.073390226789</c:v>
                </c:pt>
              </c:numCache>
            </c:numRef>
          </c:val>
          <c:extLst>
            <c:ext xmlns:c16="http://schemas.microsoft.com/office/drawing/2014/chart" uri="{C3380CC4-5D6E-409C-BE32-E72D297353CC}">
              <c16:uniqueId val="{00000000-677C-4B2F-AB2C-30EB7E681412}"/>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layout>
        <c:manualLayout>
          <c:xMode val="edge"/>
          <c:yMode val="edge"/>
          <c:x val="0.82700918635170606"/>
          <c:y val="0.41942678851890502"/>
          <c:w val="0.13323080708661417"/>
          <c:h val="0.33100775806638627"/>
        </c:manualLayout>
      </c:layout>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[Project-Dashboard.xlsx]Pivot-Table!PivotTable3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Monthly Revenue Trend - 2025</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'Pivot-Table'!$L$3</c:f>
              <c:strCache>
                <c:ptCount val="1"/>
                <c:pt idx="0">
                  <c:v>Total</c:v>
                </c:pt>
              </c:strCache>
            </c:strRef>
          </c:tx>
          <c:spPr>
            <a:ln w="28575" cap="rnd">
              <a:solidFill>
                <a:schemeClr val="accent1"/>
              </a:solidFill>
              <a:round/>
            </a:ln>
            <a:effectLst/>
          </c:spPr>
          <c:marker>
            <c:symbol val="none"/>
          </c:marker>
          <c:cat>
            <c:multiLvlStrRef>
              <c:f>'Pivot-Table'!$K$4:$K$16</c:f>
              <c:multiLvlStrCache>
                <c:ptCount val="11"/>
                <c:lvl>
                  <c:pt idx="0">
                    <c:v>Jan</c:v>
                  </c:pt>
                  <c:pt idx="1">
                    <c:v>Feb</c:v>
                  </c:pt>
                  <c:pt idx="2">
                    <c:v>Mar</c:v>
                  </c:pt>
                  <c:pt idx="3">
                    <c:v>Apr</c:v>
                  </c:pt>
                  <c:pt idx="4">
                    <c:v>May</c:v>
                  </c:pt>
                  <c:pt idx="5">
                    <c:v>Jun</c:v>
                  </c:pt>
                  <c:pt idx="6">
                    <c:v>Jul</c:v>
                  </c:pt>
                  <c:pt idx="7">
                    <c:v>Aug</c:v>
                  </c:pt>
                  <c:pt idx="8">
                    <c:v>Sep</c:v>
                  </c:pt>
                  <c:pt idx="9">
                    <c:v>Oct</c:v>
                  </c:pt>
                  <c:pt idx="10">
                    <c:v>Nov</c:v>
                  </c:pt>
                </c:lvl>
                <c:lvl>
                  <c:pt idx="0">
                    <c:v>2025</c:v>
                  </c:pt>
                </c:lvl>
              </c:multiLvlStrCache>
            </c:multiLvlStrRef>
          </c:cat>
          <c:val>
            <c:numRef>
              <c:f>'Pivot-Table'!$L$4:$L$16</c:f>
              <c:numCache>
                <c:formatCode>General</c:formatCode>
                <c:ptCount val="11"/>
                <c:pt idx="0">
                  <c:v>5</c:v>
                </c:pt>
                <c:pt idx="1">
                  <c:v>13</c:v>
                </c:pt>
                <c:pt idx="2">
                  <c:v>5</c:v>
                </c:pt>
                <c:pt idx="3">
                  <c:v>2</c:v>
                </c:pt>
                <c:pt idx="4">
                  <c:v>9</c:v>
                </c:pt>
                <c:pt idx="5">
                  <c:v>9</c:v>
                </c:pt>
                <c:pt idx="6">
                  <c:v>13</c:v>
                </c:pt>
                <c:pt idx="7">
                  <c:v>7</c:v>
                </c:pt>
                <c:pt idx="8">
                  <c:v>5</c:v>
                </c:pt>
                <c:pt idx="9">
                  <c:v>11</c:v>
                </c:pt>
                <c:pt idx="10">
                  <c:v>2</c:v>
                </c:pt>
              </c:numCache>
            </c:numRef>
          </c:val>
          <c:smooth val="0"/>
          <c:extLst>
            <c:ext xmlns:c16="http://schemas.microsoft.com/office/drawing/2014/chart" uri="{C3380CC4-5D6E-409C-BE32-E72D297353CC}">
              <c16:uniqueId val="{00000000-56EC-4FE7-A1C8-33D5E3A1E32D}"/>
            </c:ext>
          </c:extLst>
        </c:ser>
        <c:dLbls>
          <c:showLegendKey val="0"/>
          <c:showVal val="0"/>
          <c:showCatName val="0"/>
          <c:showSerName val="0"/>
          <c:showPercent val="0"/>
          <c:showBubbleSize val="0"/>
        </c:dLbls>
        <c:smooth val="0"/>
        <c:axId val="2079910288"/>
        <c:axId val="2079912208"/>
      </c:lineChart>
      <c:catAx>
        <c:axId val="2079910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9912208"/>
        <c:crosses val="autoZero"/>
        <c:auto val="1"/>
        <c:lblAlgn val="ctr"/>
        <c:lblOffset val="100"/>
        <c:noMultiLvlLbl val="0"/>
      </c:catAx>
      <c:valAx>
        <c:axId val="20799122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99102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[Project-Dashboard.xlsx]Pivot-Table!PivotTable4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kern="1200" spc="-1" baseline="0">
                <a:solidFill>
                  <a:srgbClr val="000000"/>
                </a:solidFill>
                <a:latin typeface="Calibri"/>
              </a:rPr>
              <a:t>Top 10 Products by Revenue (₹)</a:t>
            </a:r>
          </a:p>
        </c:rich>
      </c:tx>
      <c:layout>
        <c:manualLayout>
          <c:xMode val="edge"/>
          <c:yMode val="edge"/>
          <c:x val="0.2618682979419748"/>
          <c:y val="2.182432675367634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'Pivot-Table'!$P$3</c:f>
              <c:strCache>
                <c:ptCount val="1"/>
                <c:pt idx="0">
                  <c:v>Total</c:v>
                </c:pt>
              </c:strCache>
            </c:strRef>
          </c:tx>
          <c:spPr>
            <a:solidFill>
              <a:schemeClr val="accent1"/>
            </a:solidFill>
            <a:ln>
              <a:noFill/>
            </a:ln>
            <a:effectLst/>
          </c:spPr>
          <c:invertIfNegative val="0"/>
          <c:cat>
            <c:strRef>
              <c:f>'Pivot-Table'!$O$4:$O$14</c:f>
              <c:strCache>
                <c:ptCount val="10"/>
                <c:pt idx="0">
                  <c:v>Basketball</c:v>
                </c:pt>
                <c:pt idx="1">
                  <c:v>Biography</c:v>
                </c:pt>
                <c:pt idx="2">
                  <c:v>Blender</c:v>
                </c:pt>
                <c:pt idx="3">
                  <c:v>Comics</c:v>
                </c:pt>
                <c:pt idx="4">
                  <c:v>Fiction</c:v>
                </c:pt>
                <c:pt idx="5">
                  <c:v>Lamp</c:v>
                </c:pt>
                <c:pt idx="6">
                  <c:v>Science</c:v>
                </c:pt>
                <c:pt idx="7">
                  <c:v>Shoes</c:v>
                </c:pt>
                <c:pt idx="8">
                  <c:v>T-shirt</c:v>
                </c:pt>
                <c:pt idx="9">
                  <c:v>Vacuum</c:v>
                </c:pt>
              </c:strCache>
            </c:strRef>
          </c:cat>
          <c:val>
            <c:numRef>
              <c:f>'Pivot-Table'!$P$4:$P$14</c:f>
              <c:numCache>
                <c:formatCode>"₹"\ #,##0.00</c:formatCode>
                <c:ptCount val="10"/>
                <c:pt idx="0">
                  <c:v>12376.371560673368</c:v>
                </c:pt>
                <c:pt idx="1">
                  <c:v>9577.39</c:v>
                </c:pt>
                <c:pt idx="2">
                  <c:v>31084.146702127659</c:v>
                </c:pt>
                <c:pt idx="3">
                  <c:v>17836.288901098898</c:v>
                </c:pt>
                <c:pt idx="4">
                  <c:v>7761.57</c:v>
                </c:pt>
                <c:pt idx="5">
                  <c:v>14306.440000000002</c:v>
                </c:pt>
                <c:pt idx="6">
                  <c:v>8005.71</c:v>
                </c:pt>
                <c:pt idx="7">
                  <c:v>17836.318901098901</c:v>
                </c:pt>
                <c:pt idx="8">
                  <c:v>8230.26</c:v>
                </c:pt>
                <c:pt idx="9">
                  <c:v>7537.5828138882389</c:v>
                </c:pt>
              </c:numCache>
            </c:numRef>
          </c:val>
          <c:extLst>
            <c:ext xmlns:c16="http://schemas.microsoft.com/office/drawing/2014/chart" uri="{C3380CC4-5D6E-409C-BE32-E72D297353CC}">
              <c16:uniqueId val="{00000000-A575-4EEE-B98F-6C846497D144}"/>
            </c:ext>
          </c:extLst>
        </c:ser>
        <c:dLbls>
          <c:showLegendKey val="0"/>
          <c:showVal val="0"/>
          <c:showCatName val="0"/>
          <c:showSerName val="0"/>
          <c:showPercent val="0"/>
          <c:showBubbleSize val="0"/>
        </c:dLbls>
        <c:gapWidth val="182"/>
        <c:axId val="2070589936"/>
        <c:axId val="2070591376"/>
      </c:barChart>
      <c:catAx>
        <c:axId val="20705899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0591376"/>
        <c:crosses val="autoZero"/>
        <c:auto val="1"/>
        <c:lblAlgn val="ctr"/>
        <c:lblOffset val="100"/>
        <c:noMultiLvlLbl val="0"/>
      </c:catAx>
      <c:valAx>
        <c:axId val="2070591376"/>
        <c:scaling>
          <c:orientation val="minMax"/>
        </c:scaling>
        <c:delete val="0"/>
        <c:axPos val="b"/>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05899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[Project-Dashboard.xlsx]Pivot-Table!PivotTable3</c:name>
    <c:fmtId val="1"/>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600" b="1"/>
              <a:t>Monthly  Order Count - 2025</a:t>
            </a:r>
          </a:p>
        </c:rich>
      </c:tx>
      <c:layout>
        <c:manualLayout>
          <c:xMode val="edge"/>
          <c:yMode val="edge"/>
          <c:x val="0.26408053160021666"/>
          <c:y val="6.8423738699329245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'Pivot-Table'!$L$3</c:f>
              <c:strCache>
                <c:ptCount val="1"/>
                <c:pt idx="0">
                  <c:v>Total</c:v>
                </c:pt>
              </c:strCache>
            </c:strRef>
          </c:tx>
          <c:spPr>
            <a:solidFill>
              <a:schemeClr val="accent1"/>
            </a:solidFill>
            <a:ln>
              <a:noFill/>
            </a:ln>
            <a:effectLst/>
          </c:spPr>
          <c:invertIfNegative val="0"/>
          <c:cat>
            <c:multiLvlStrRef>
              <c:f>'Pivot-Table'!$K$4:$K$16</c:f>
              <c:multiLvlStrCache>
                <c:ptCount val="11"/>
                <c:lvl>
                  <c:pt idx="0">
                    <c:v>Jan</c:v>
                  </c:pt>
                  <c:pt idx="1">
                    <c:v>Feb</c:v>
                  </c:pt>
                  <c:pt idx="2">
                    <c:v>Mar</c:v>
                  </c:pt>
                  <c:pt idx="3">
                    <c:v>Apr</c:v>
                  </c:pt>
                  <c:pt idx="4">
                    <c:v>May</c:v>
                  </c:pt>
                  <c:pt idx="5">
                    <c:v>Jun</c:v>
                  </c:pt>
                  <c:pt idx="6">
                    <c:v>Jul</c:v>
                  </c:pt>
                  <c:pt idx="7">
                    <c:v>Aug</c:v>
                  </c:pt>
                  <c:pt idx="8">
                    <c:v>Sep</c:v>
                  </c:pt>
                  <c:pt idx="9">
                    <c:v>Oct</c:v>
                  </c:pt>
                  <c:pt idx="10">
                    <c:v>Nov</c:v>
                  </c:pt>
                </c:lvl>
                <c:lvl>
                  <c:pt idx="0">
                    <c:v>2025</c:v>
                  </c:pt>
                </c:lvl>
              </c:multiLvlStrCache>
            </c:multiLvlStrRef>
          </c:cat>
          <c:val>
            <c:numRef>
              <c:f>'Pivot-Table'!$L$4:$L$16</c:f>
              <c:numCache>
                <c:formatCode>General</c:formatCode>
                <c:ptCount val="11"/>
                <c:pt idx="0">
                  <c:v>5</c:v>
                </c:pt>
                <c:pt idx="1">
                  <c:v>13</c:v>
                </c:pt>
                <c:pt idx="2">
                  <c:v>5</c:v>
                </c:pt>
                <c:pt idx="3">
                  <c:v>2</c:v>
                </c:pt>
                <c:pt idx="4">
                  <c:v>9</c:v>
                </c:pt>
                <c:pt idx="5">
                  <c:v>9</c:v>
                </c:pt>
                <c:pt idx="6">
                  <c:v>13</c:v>
                </c:pt>
                <c:pt idx="7">
                  <c:v>7</c:v>
                </c:pt>
                <c:pt idx="8">
                  <c:v>5</c:v>
                </c:pt>
                <c:pt idx="9">
                  <c:v>11</c:v>
                </c:pt>
                <c:pt idx="10">
                  <c:v>2</c:v>
                </c:pt>
              </c:numCache>
            </c:numRef>
          </c:val>
          <c:extLst>
            <c:ext xmlns:c16="http://schemas.microsoft.com/office/drawing/2014/chart" uri="{C3380CC4-5D6E-409C-BE32-E72D297353CC}">
              <c16:uniqueId val="{00000000-24E9-4F2E-B34F-E7CCD849B01F}"/>
            </c:ext>
          </c:extLst>
        </c:ser>
        <c:dLbls>
          <c:showLegendKey val="0"/>
          <c:showVal val="0"/>
          <c:showCatName val="0"/>
          <c:showSerName val="0"/>
          <c:showPercent val="0"/>
          <c:showBubbleSize val="0"/>
        </c:dLbls>
        <c:gapWidth val="219"/>
        <c:overlap val="-27"/>
        <c:axId val="2077871072"/>
        <c:axId val="2077870592"/>
      </c:barChart>
      <c:catAx>
        <c:axId val="207787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7870592"/>
        <c:crosses val="autoZero"/>
        <c:auto val="1"/>
        <c:lblAlgn val="ctr"/>
        <c:lblOffset val="100"/>
        <c:noMultiLvlLbl val="0"/>
      </c:catAx>
      <c:valAx>
        <c:axId val="20778705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78710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[Project-Dashboard.xlsx]Pivot-Table!PivotTable5</c:name>
    <c:fmtId val="0"/>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IN" sz="1800" b="1" i="0" u="none" strike="noStrike" kern="1200" spc="-1" baseline="0">
                <a:solidFill>
                  <a:srgbClr val="000000"/>
                </a:solidFill>
                <a:latin typeface="Calibri"/>
              </a:rPr>
              <a:t>Revenue by Payment Method</a:t>
            </a:r>
          </a:p>
        </c:rich>
      </c:tx>
      <c:layout>
        <c:manualLayout>
          <c:xMode val="edge"/>
          <c:yMode val="edge"/>
          <c:x val="0.28643382296511183"/>
          <c:y val="5.207571865187939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pivotFmt>
      <c:pivotFmt>
        <c:idx val="6"/>
        <c:spPr>
          <a:solidFill>
            <a:schemeClr val="accent1"/>
          </a:solidFill>
          <a:ln>
            <a:noFill/>
          </a:ln>
          <a:effectLst>
            <a:outerShdw blurRad="317500" algn="ctr" rotWithShape="0">
              <a:prstClr val="black">
                <a:alpha val="25000"/>
              </a:prstClr>
            </a:outerShdw>
          </a:effectLst>
        </c:spPr>
      </c:pivotFmt>
      <c:pivotFmt>
        <c:idx val="7"/>
        <c:spPr>
          <a:solidFill>
            <a:schemeClr val="accent1"/>
          </a:solidFill>
          <a:ln>
            <a:noFill/>
          </a:ln>
          <a:effectLst>
            <a:outerShdw blurRad="317500" algn="ctr" rotWithShape="0">
              <a:prstClr val="black">
                <a:alpha val="25000"/>
              </a:prstClr>
            </a:outerShdw>
          </a:effectLst>
        </c:spPr>
      </c:pivotFmt>
      <c:pivotFmt>
        <c:idx val="8"/>
        <c:spPr>
          <a:solidFill>
            <a:schemeClr val="accent1"/>
          </a:solidFill>
          <a:ln>
            <a:noFill/>
          </a:ln>
          <a:effectLst>
            <a:outerShdw blurRad="317500" algn="ctr" rotWithShape="0">
              <a:prstClr val="black">
                <a:alpha val="25000"/>
              </a:prstClr>
            </a:outerShdw>
          </a:effectLst>
        </c:spPr>
      </c:pivotFmt>
      <c:pivotFmt>
        <c:idx val="9"/>
        <c:spPr>
          <a:solidFill>
            <a:schemeClr val="accent1"/>
          </a:solidFill>
          <a:ln>
            <a:noFill/>
          </a:ln>
          <a:effectLst>
            <a:outerShdw blurRad="317500" algn="ctr" rotWithShape="0">
              <a:prstClr val="black">
                <a:alpha val="25000"/>
              </a:prstClr>
            </a:outerShdw>
          </a:effectLst>
        </c:spPr>
      </c:pivotFmt>
      <c:pivotFmt>
        <c:idx val="10"/>
        <c:spPr>
          <a:solidFill>
            <a:schemeClr val="accent1"/>
          </a:solidFill>
          <a:ln>
            <a:noFill/>
          </a:ln>
          <a:effectLst>
            <a:outerShdw blurRad="317500" algn="ctr" rotWithShape="0">
              <a:prstClr val="black">
                <a:alpha val="25000"/>
              </a:prstClr>
            </a:outerShdw>
          </a:effectLst>
        </c:spPr>
      </c:pivotFmt>
      <c:pivotFmt>
        <c:idx val="11"/>
        <c:spPr>
          <a:solidFill>
            <a:schemeClr val="accent1"/>
          </a:solidFill>
          <a:ln>
            <a:noFill/>
          </a:ln>
          <a:effectLst>
            <a:outerShdw blurRad="317500" algn="ctr" rotWithShape="0">
              <a:prstClr val="black">
                <a:alpha val="25000"/>
              </a:prstClr>
            </a:outerShdw>
          </a:effectLst>
        </c:spPr>
      </c:pivotFmt>
    </c:pivotFmts>
    <c:plotArea>
      <c:layout/>
      <c:pieChart>
        <c:varyColors val="1"/>
        <c:ser>
          <c:idx val="0"/>
          <c:order val="0"/>
          <c:tx>
            <c:strRef>
              <c:f>'Pivot-Table'!$S$3</c:f>
              <c:strCache>
                <c:ptCount val="1"/>
                <c:pt idx="0">
                  <c:v>Revenue</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B881-40AC-A204-68367D39452F}"/>
              </c:ext>
            </c:extLst>
          </c:dPt>
          <c:dPt>
            <c:idx val="1"/>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B881-40AC-A204-68367D39452F}"/>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B881-40AC-A204-68367D39452F}"/>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B881-40AC-A204-68367D39452F}"/>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'Pivot-Table'!$R$4:$R$8</c:f>
              <c:strCache>
                <c:ptCount val="4"/>
                <c:pt idx="0">
                  <c:v>Bank Transfer</c:v>
                </c:pt>
                <c:pt idx="1">
                  <c:v>Cash on Delivery</c:v>
                </c:pt>
                <c:pt idx="2">
                  <c:v>Credit Card</c:v>
                </c:pt>
                <c:pt idx="3">
                  <c:v>PayPal</c:v>
                </c:pt>
              </c:strCache>
            </c:strRef>
          </c:cat>
          <c:val>
            <c:numRef>
              <c:f>'Pivot-Table'!$S$4:$S$8</c:f>
              <c:numCache>
                <c:formatCode>"₹"\ #,##0.00</c:formatCode>
                <c:ptCount val="4"/>
                <c:pt idx="0">
                  <c:v>47107.71582300678</c:v>
                </c:pt>
                <c:pt idx="1">
                  <c:v>74850.325093523497</c:v>
                </c:pt>
                <c:pt idx="2">
                  <c:v>25672.704361702126</c:v>
                </c:pt>
                <c:pt idx="3">
                  <c:v>35446.935764554604</c:v>
                </c:pt>
              </c:numCache>
            </c:numRef>
          </c:val>
          <c:extLst>
            <c:ext xmlns:c16="http://schemas.microsoft.com/office/drawing/2014/chart" uri="{C3380CC4-5D6E-409C-BE32-E72D297353CC}">
              <c16:uniqueId val="{00000000-9427-4D13-BAFE-E6E5058E8E8F}"/>
            </c:ext>
          </c:extLst>
        </c:ser>
        <c:ser>
          <c:idx val="1"/>
          <c:order val="1"/>
          <c:tx>
            <c:strRef>
              <c:f>'Pivot-Table'!$T$3</c:f>
              <c:strCache>
                <c:ptCount val="1"/>
                <c:pt idx="0">
                  <c:v>Count</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B881-40AC-A204-68367D39452F}"/>
              </c:ext>
            </c:extLst>
          </c:dPt>
          <c:dPt>
            <c:idx val="1"/>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B-B881-40AC-A204-68367D39452F}"/>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D-B881-40AC-A204-68367D39452F}"/>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F-B881-40AC-A204-68367D39452F}"/>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'Pivot-Table'!$R$4:$R$8</c:f>
              <c:strCache>
                <c:ptCount val="4"/>
                <c:pt idx="0">
                  <c:v>Bank Transfer</c:v>
                </c:pt>
                <c:pt idx="1">
                  <c:v>Cash on Delivery</c:v>
                </c:pt>
                <c:pt idx="2">
                  <c:v>Credit Card</c:v>
                </c:pt>
                <c:pt idx="3">
                  <c:v>PayPal</c:v>
                </c:pt>
              </c:strCache>
            </c:strRef>
          </c:cat>
          <c:val>
            <c:numRef>
              <c:f>'Pivot-Table'!$T$4:$T$8</c:f>
              <c:numCache>
                <c:formatCode>General</c:formatCode>
                <c:ptCount val="4"/>
                <c:pt idx="0">
                  <c:v>22</c:v>
                </c:pt>
                <c:pt idx="1">
                  <c:v>33</c:v>
                </c:pt>
                <c:pt idx="2">
                  <c:v>21</c:v>
                </c:pt>
                <c:pt idx="3">
                  <c:v>24</c:v>
                </c:pt>
              </c:numCache>
            </c:numRef>
          </c:val>
          <c:extLst>
            <c:ext xmlns:c16="http://schemas.microsoft.com/office/drawing/2014/chart" uri="{C3380CC4-5D6E-409C-BE32-E72D297353CC}">
              <c16:uniqueId val="{00000001-9427-4D13-BAFE-E6E5058E8E8F}"/>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[Project-Dashboard.xlsx]Pivot-Table!PivotTable6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kern="1200" spc="-1" baseline="0">
                <a:solidFill>
                  <a:srgbClr val="000000"/>
                </a:solidFill>
                <a:latin typeface="Calibri"/>
              </a:rPr>
              <a:t>Revenue by Category &amp; Status (Stacked)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'Pivot-Table'!$C$20:$C$21</c:f>
              <c:strCache>
                <c:ptCount val="1"/>
                <c:pt idx="0">
                  <c:v>Cancelled</c:v>
                </c:pt>
              </c:strCache>
            </c:strRef>
          </c:tx>
          <c:spPr>
            <a:solidFill>
              <a:schemeClr val="accent1"/>
            </a:solidFill>
            <a:ln>
              <a:noFill/>
            </a:ln>
            <a:effectLst/>
          </c:spPr>
          <c:invertIfNegative val="0"/>
          <c:cat>
            <c:strRef>
              <c:f>'Pivot-Table'!$B$22:$B$27</c:f>
              <c:strCache>
                <c:ptCount val="5"/>
                <c:pt idx="0">
                  <c:v>Books</c:v>
                </c:pt>
                <c:pt idx="1">
                  <c:v>Clothing</c:v>
                </c:pt>
                <c:pt idx="2">
                  <c:v>Electronics</c:v>
                </c:pt>
                <c:pt idx="3">
                  <c:v>Home</c:v>
                </c:pt>
                <c:pt idx="4">
                  <c:v>Sports</c:v>
                </c:pt>
              </c:strCache>
            </c:strRef>
          </c:cat>
          <c:val>
            <c:numRef>
              <c:f>'Pivot-Table'!$C$22:$C$27</c:f>
              <c:numCache>
                <c:formatCode>"₹"\ #,##0.00</c:formatCode>
                <c:ptCount val="5"/>
                <c:pt idx="0">
                  <c:v>7872.5289010989</c:v>
                </c:pt>
                <c:pt idx="1">
                  <c:v>7481.05</c:v>
                </c:pt>
                <c:pt idx="2">
                  <c:v>6761.73</c:v>
                </c:pt>
                <c:pt idx="3">
                  <c:v>4108.3599999999997</c:v>
                </c:pt>
                <c:pt idx="4">
                  <c:v>4935.6689010989003</c:v>
                </c:pt>
              </c:numCache>
            </c:numRef>
          </c:val>
          <c:extLst>
            <c:ext xmlns:c16="http://schemas.microsoft.com/office/drawing/2014/chart" uri="{C3380CC4-5D6E-409C-BE32-E72D297353CC}">
              <c16:uniqueId val="{00000000-1AB7-4349-AD64-2BE42DFC1250}"/>
            </c:ext>
          </c:extLst>
        </c:ser>
        <c:ser>
          <c:idx val="1"/>
          <c:order val="1"/>
          <c:tx>
            <c:strRef>
              <c:f>'Pivot-Table'!$D$20:$D$21</c:f>
              <c:strCache>
                <c:ptCount val="1"/>
                <c:pt idx="0">
                  <c:v>Delivered</c:v>
                </c:pt>
              </c:strCache>
            </c:strRef>
          </c:tx>
          <c:spPr>
            <a:solidFill>
              <a:schemeClr val="accent2"/>
            </a:solidFill>
            <a:ln>
              <a:noFill/>
            </a:ln>
            <a:effectLst/>
          </c:spPr>
          <c:invertIfNegative val="0"/>
          <c:cat>
            <c:strRef>
              <c:f>'Pivot-Table'!$B$22:$B$27</c:f>
              <c:strCache>
                <c:ptCount val="5"/>
                <c:pt idx="0">
                  <c:v>Books</c:v>
                </c:pt>
                <c:pt idx="1">
                  <c:v>Clothing</c:v>
                </c:pt>
                <c:pt idx="2">
                  <c:v>Electronics</c:v>
                </c:pt>
                <c:pt idx="3">
                  <c:v>Home</c:v>
                </c:pt>
                <c:pt idx="4">
                  <c:v>Sports</c:v>
                </c:pt>
              </c:strCache>
            </c:strRef>
          </c:cat>
          <c:val>
            <c:numRef>
              <c:f>'Pivot-Table'!$D$22:$D$27</c:f>
              <c:numCache>
                <c:formatCode>"₹"\ #,##0.00</c:formatCode>
                <c:ptCount val="5"/>
                <c:pt idx="1">
                  <c:v>3894.7799999999997</c:v>
                </c:pt>
                <c:pt idx="2">
                  <c:v>4024.82</c:v>
                </c:pt>
                <c:pt idx="3">
                  <c:v>3775.462813888239</c:v>
                </c:pt>
                <c:pt idx="4">
                  <c:v>5087.1000000000004</c:v>
                </c:pt>
              </c:numCache>
            </c:numRef>
          </c:val>
          <c:extLst>
            <c:ext xmlns:c16="http://schemas.microsoft.com/office/drawing/2014/chart" uri="{C3380CC4-5D6E-409C-BE32-E72D297353CC}">
              <c16:uniqueId val="{00000004-9497-4A66-AC83-595DCF4A1FA8}"/>
            </c:ext>
          </c:extLst>
        </c:ser>
        <c:ser>
          <c:idx val="2"/>
          <c:order val="2"/>
          <c:tx>
            <c:strRef>
              <c:f>'Pivot-Table'!$E$20:$E$21</c:f>
              <c:strCache>
                <c:ptCount val="1"/>
                <c:pt idx="0">
                  <c:v>Processing</c:v>
                </c:pt>
              </c:strCache>
            </c:strRef>
          </c:tx>
          <c:spPr>
            <a:solidFill>
              <a:schemeClr val="accent3"/>
            </a:solidFill>
            <a:ln>
              <a:noFill/>
            </a:ln>
            <a:effectLst/>
          </c:spPr>
          <c:invertIfNegative val="0"/>
          <c:cat>
            <c:strRef>
              <c:f>'Pivot-Table'!$B$22:$B$27</c:f>
              <c:strCache>
                <c:ptCount val="5"/>
                <c:pt idx="0">
                  <c:v>Books</c:v>
                </c:pt>
                <c:pt idx="1">
                  <c:v>Clothing</c:v>
                </c:pt>
                <c:pt idx="2">
                  <c:v>Electronics</c:v>
                </c:pt>
                <c:pt idx="3">
                  <c:v>Home</c:v>
                </c:pt>
                <c:pt idx="4">
                  <c:v>Sports</c:v>
                </c:pt>
              </c:strCache>
            </c:strRef>
          </c:cat>
          <c:val>
            <c:numRef>
              <c:f>'Pivot-Table'!$E$22:$E$27</c:f>
              <c:numCache>
                <c:formatCode>"₹"\ #,##0.00</c:formatCode>
                <c:ptCount val="5"/>
                <c:pt idx="0">
                  <c:v>4887.6299999999992</c:v>
                </c:pt>
                <c:pt idx="1">
                  <c:v>9432.75</c:v>
                </c:pt>
                <c:pt idx="2">
                  <c:v>23602.019560439559</c:v>
                </c:pt>
                <c:pt idx="3">
                  <c:v>6946.3158230067793</c:v>
                </c:pt>
                <c:pt idx="4">
                  <c:v>10182.788390226795</c:v>
                </c:pt>
              </c:numCache>
            </c:numRef>
          </c:val>
          <c:extLst>
            <c:ext xmlns:c16="http://schemas.microsoft.com/office/drawing/2014/chart" uri="{C3380CC4-5D6E-409C-BE32-E72D297353CC}">
              <c16:uniqueId val="{00000005-9497-4A66-AC83-595DCF4A1FA8}"/>
            </c:ext>
          </c:extLst>
        </c:ser>
        <c:ser>
          <c:idx val="3"/>
          <c:order val="3"/>
          <c:tx>
            <c:strRef>
              <c:f>'Pivot-Table'!$F$20:$F$21</c:f>
              <c:strCache>
                <c:ptCount val="1"/>
                <c:pt idx="0">
                  <c:v>Returned</c:v>
                </c:pt>
              </c:strCache>
            </c:strRef>
          </c:tx>
          <c:spPr>
            <a:solidFill>
              <a:schemeClr val="accent4"/>
            </a:solidFill>
            <a:ln>
              <a:noFill/>
            </a:ln>
            <a:effectLst/>
          </c:spPr>
          <c:invertIfNegative val="0"/>
          <c:cat>
            <c:strRef>
              <c:f>'Pivot-Table'!$B$22:$B$27</c:f>
              <c:strCache>
                <c:ptCount val="5"/>
                <c:pt idx="0">
                  <c:v>Books</c:v>
                </c:pt>
                <c:pt idx="1">
                  <c:v>Clothing</c:v>
                </c:pt>
                <c:pt idx="2">
                  <c:v>Electronics</c:v>
                </c:pt>
                <c:pt idx="3">
                  <c:v>Home</c:v>
                </c:pt>
                <c:pt idx="4">
                  <c:v>Sports</c:v>
                </c:pt>
              </c:strCache>
            </c:strRef>
          </c:cat>
          <c:val>
            <c:numRef>
              <c:f>'Pivot-Table'!$F$22:$F$27</c:f>
              <c:numCache>
                <c:formatCode>"₹"\ #,##0.00</c:formatCode>
                <c:ptCount val="5"/>
                <c:pt idx="0">
                  <c:v>22151.96</c:v>
                </c:pt>
                <c:pt idx="1">
                  <c:v>3774.6528372691132</c:v>
                </c:pt>
                <c:pt idx="2">
                  <c:v>5190.26</c:v>
                </c:pt>
                <c:pt idx="3">
                  <c:v>8228.33</c:v>
                </c:pt>
                <c:pt idx="4">
                  <c:v>4672.4004255319151</c:v>
                </c:pt>
              </c:numCache>
            </c:numRef>
          </c:val>
          <c:extLst>
            <c:ext xmlns:c16="http://schemas.microsoft.com/office/drawing/2014/chart" uri="{C3380CC4-5D6E-409C-BE32-E72D297353CC}">
              <c16:uniqueId val="{00000006-9497-4A66-AC83-595DCF4A1FA8}"/>
            </c:ext>
          </c:extLst>
        </c:ser>
        <c:ser>
          <c:idx val="4"/>
          <c:order val="4"/>
          <c:tx>
            <c:strRef>
              <c:f>'Pivot-Table'!$G$20:$G$21</c:f>
              <c:strCache>
                <c:ptCount val="1"/>
                <c:pt idx="0">
                  <c:v>Shipped</c:v>
                </c:pt>
              </c:strCache>
            </c:strRef>
          </c:tx>
          <c:spPr>
            <a:solidFill>
              <a:schemeClr val="accent5"/>
            </a:solidFill>
            <a:ln>
              <a:noFill/>
            </a:ln>
            <a:effectLst/>
          </c:spPr>
          <c:invertIfNegative val="0"/>
          <c:cat>
            <c:strRef>
              <c:f>'Pivot-Table'!$B$22:$B$27</c:f>
              <c:strCache>
                <c:ptCount val="5"/>
                <c:pt idx="0">
                  <c:v>Books</c:v>
                </c:pt>
                <c:pt idx="1">
                  <c:v>Clothing</c:v>
                </c:pt>
                <c:pt idx="2">
                  <c:v>Electronics</c:v>
                </c:pt>
                <c:pt idx="3">
                  <c:v>Home</c:v>
                </c:pt>
                <c:pt idx="4">
                  <c:v>Sports</c:v>
                </c:pt>
              </c:strCache>
            </c:strRef>
          </c:cat>
          <c:val>
            <c:numRef>
              <c:f>'Pivot-Table'!$G$22:$G$27</c:f>
              <c:numCache>
                <c:formatCode>"₹"\ #,##0.00</c:formatCode>
                <c:ptCount val="5"/>
                <c:pt idx="0">
                  <c:v>8268.84</c:v>
                </c:pt>
                <c:pt idx="1">
                  <c:v>9811.6095604395596</c:v>
                </c:pt>
                <c:pt idx="2">
                  <c:v>4598.3999999999996</c:v>
                </c:pt>
                <c:pt idx="3">
                  <c:v>10941.589999999998</c:v>
                </c:pt>
                <c:pt idx="4">
                  <c:v>2446.6338297872339</c:v>
                </c:pt>
              </c:numCache>
            </c:numRef>
          </c:val>
          <c:extLst>
            <c:ext xmlns:c16="http://schemas.microsoft.com/office/drawing/2014/chart" uri="{C3380CC4-5D6E-409C-BE32-E72D297353CC}">
              <c16:uniqueId val="{00000007-9497-4A66-AC83-595DCF4A1FA8}"/>
            </c:ext>
          </c:extLst>
        </c:ser>
        <c:dLbls>
          <c:showLegendKey val="0"/>
          <c:showVal val="0"/>
          <c:showCatName val="0"/>
          <c:showSerName val="0"/>
          <c:showPercent val="0"/>
          <c:showBubbleSize val="0"/>
        </c:dLbls>
        <c:gapWidth val="150"/>
        <c:overlap val="100"/>
        <c:axId val="1501067808"/>
        <c:axId val="1501073568"/>
      </c:barChart>
      <c:catAx>
        <c:axId val="15010678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073568"/>
        <c:crosses val="autoZero"/>
        <c:auto val="1"/>
        <c:lblAlgn val="ctr"/>
        <c:lblOffset val="100"/>
        <c:noMultiLvlLbl val="0"/>
      </c:catAx>
      <c:valAx>
        <c:axId val="1501073568"/>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0678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[Project-Dashboard.xlsx]Pivot-Table!PivotTable1</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kern="1200" spc="-1" baseline="0">
                <a:solidFill>
                  <a:srgbClr val="000000"/>
                </a:solidFill>
                <a:latin typeface="Calibri"/>
              </a:rPr>
              <a:t>Order Count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'Pivot-Table'!$B$3</c:f>
              <c:strCache>
                <c:ptCount val="1"/>
                <c:pt idx="0">
                  <c:v>Total</c:v>
                </c:pt>
              </c:strCache>
            </c:strRef>
          </c:tx>
          <c:spPr>
            <a:solidFill>
              <a:schemeClr val="accent1"/>
            </a:solidFill>
            <a:ln>
              <a:noFill/>
            </a:ln>
            <a:effectLst/>
          </c:spPr>
          <c:invertIfNegative val="0"/>
          <c:cat>
            <c:strRef>
              <c:f>'Pivot-Table'!$A$4:$A$9</c:f>
              <c:strCache>
                <c:ptCount val="5"/>
                <c:pt idx="0">
                  <c:v>Books</c:v>
                </c:pt>
                <c:pt idx="1">
                  <c:v>Clothing</c:v>
                </c:pt>
                <c:pt idx="2">
                  <c:v>Electronics</c:v>
                </c:pt>
                <c:pt idx="3">
                  <c:v>Home</c:v>
                </c:pt>
                <c:pt idx="4">
                  <c:v>Sports</c:v>
                </c:pt>
              </c:strCache>
            </c:strRef>
          </c:cat>
          <c:val>
            <c:numRef>
              <c:f>'Pivot-Table'!$B$4:$B$9</c:f>
              <c:numCache>
                <c:formatCode>General</c:formatCode>
                <c:ptCount val="5"/>
                <c:pt idx="0">
                  <c:v>23</c:v>
                </c:pt>
                <c:pt idx="1">
                  <c:v>16</c:v>
                </c:pt>
                <c:pt idx="2">
                  <c:v>23</c:v>
                </c:pt>
                <c:pt idx="3">
                  <c:v>20</c:v>
                </c:pt>
                <c:pt idx="4">
                  <c:v>18</c:v>
                </c:pt>
              </c:numCache>
            </c:numRef>
          </c:val>
          <c:extLst>
            <c:ext xmlns:c16="http://schemas.microsoft.com/office/drawing/2014/chart" uri="{C3380CC4-5D6E-409C-BE32-E72D297353CC}">
              <c16:uniqueId val="{00000000-968F-41EF-A4F0-3E04B4664CD9}"/>
            </c:ext>
          </c:extLst>
        </c:ser>
        <c:dLbls>
          <c:showLegendKey val="0"/>
          <c:showVal val="0"/>
          <c:showCatName val="0"/>
          <c:showSerName val="0"/>
          <c:showPercent val="0"/>
          <c:showBubbleSize val="0"/>
        </c:dLbls>
        <c:gapWidth val="219"/>
        <c:overlap val="-27"/>
        <c:axId val="2066569504"/>
        <c:axId val="2066570944"/>
      </c:barChart>
      <c:catAx>
        <c:axId val="2066569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6570944"/>
        <c:crosses val="autoZero"/>
        <c:auto val="1"/>
        <c:lblAlgn val="ctr"/>
        <c:lblOffset val="100"/>
        <c:noMultiLvlLbl val="0"/>
      </c:catAx>
      <c:valAx>
        <c:axId val="20665709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65695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[Project-Dashboard.xlsx]Pivot-Table!PivotTable9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kern="1200" cap="none" spc="-1" normalizeH="0" baseline="0">
                <a:solidFill>
                  <a:srgbClr val="000000"/>
                </a:solidFill>
                <a:latin typeface="Calibri"/>
              </a:rPr>
              <a:t>Revenue by Category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'Pivot-Table'!$E$3</c:f>
              <c:strCache>
                <c:ptCount val="1"/>
                <c:pt idx="0">
                  <c:v>Total</c:v>
                </c:pt>
              </c:strCache>
            </c:strRef>
          </c:tx>
          <c:spPr>
            <a:solidFill>
              <a:schemeClr val="accent1"/>
            </a:solidFill>
            <a:ln>
              <a:noFill/>
            </a:ln>
            <a:effectLst/>
          </c:spPr>
          <c:invertIfNegative val="0"/>
          <c:cat>
            <c:strRef>
              <c:f>'Pivot-Table'!$D$4:$D$9</c:f>
              <c:strCache>
                <c:ptCount val="5"/>
                <c:pt idx="0">
                  <c:v>Books</c:v>
                </c:pt>
                <c:pt idx="1">
                  <c:v>Clothing</c:v>
                </c:pt>
                <c:pt idx="2">
                  <c:v>Electronics</c:v>
                </c:pt>
                <c:pt idx="3">
                  <c:v>Home</c:v>
                </c:pt>
                <c:pt idx="4">
                  <c:v>Sports</c:v>
                </c:pt>
              </c:strCache>
            </c:strRef>
          </c:cat>
          <c:val>
            <c:numRef>
              <c:f>'Pivot-Table'!$E$4:$E$9</c:f>
              <c:numCache>
                <c:formatCode>"₹"\ #,##0.00</c:formatCode>
                <c:ptCount val="5"/>
                <c:pt idx="0">
                  <c:v>43180.9589010989</c:v>
                </c:pt>
                <c:pt idx="1">
                  <c:v>34394.842397708671</c:v>
                </c:pt>
                <c:pt idx="2">
                  <c:v>44177.229560439555</c:v>
                </c:pt>
                <c:pt idx="3">
                  <c:v>34000.058636895017</c:v>
                </c:pt>
                <c:pt idx="4">
                  <c:v>27324.591546644846</c:v>
                </c:pt>
              </c:numCache>
            </c:numRef>
          </c:val>
          <c:extLst>
            <c:ext xmlns:c16="http://schemas.microsoft.com/office/drawing/2014/chart" uri="{C3380CC4-5D6E-409C-BE32-E72D297353CC}">
              <c16:uniqueId val="{00000000-6768-4E9F-B96C-B337E39E6E1F}"/>
            </c:ext>
          </c:extLst>
        </c:ser>
        <c:dLbls>
          <c:showLegendKey val="0"/>
          <c:showVal val="0"/>
          <c:showCatName val="0"/>
          <c:showSerName val="0"/>
          <c:showPercent val="0"/>
          <c:showBubbleSize val="0"/>
        </c:dLbls>
        <c:gapWidth val="219"/>
        <c:overlap val="-27"/>
        <c:axId val="2096230224"/>
        <c:axId val="2096222544"/>
      </c:barChart>
      <c:catAx>
        <c:axId val="20962302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6222544"/>
        <c:crosses val="autoZero"/>
        <c:auto val="1"/>
        <c:lblAlgn val="ctr"/>
        <c:lblOffset val="100"/>
        <c:noMultiLvlLbl val="0"/>
      </c:catAx>
      <c:valAx>
        <c:axId val="2096222544"/>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62302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[Project-Dashboard.xlsx]Pivot-Table!PivotTable9</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i="0" u="none" strike="noStrike" kern="1200" cap="none" spc="-1" normalizeH="0" baseline="0">
                <a:solidFill>
                  <a:srgbClr val="000000"/>
                </a:solidFill>
                <a:latin typeface="Calibri"/>
              </a:rPr>
              <a:t>Revenue by Category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93BAC"/>
          </a:solidFill>
          <a:ln>
            <a:noFill/>
          </a:ln>
          <a:effectLst/>
        </c:spPr>
        <c:marker>
          <c:symbol val="none"/>
        </c:marker>
        <c:dLbl>
          <c:idx val="0"/>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069143700787404"/>
          <c:y val="0.21366306301744434"/>
          <c:w val="0.80282699037620298"/>
          <c:h val="0.64111156121561974"/>
        </c:manualLayout>
      </c:layout>
      <c:barChart>
        <c:barDir val="col"/>
        <c:grouping val="clustered"/>
        <c:varyColors val="0"/>
        <c:ser>
          <c:idx val="0"/>
          <c:order val="0"/>
          <c:tx>
            <c:strRef>
              <c:f>'Pivot-Table'!$E$3</c:f>
              <c:strCache>
                <c:ptCount val="1"/>
                <c:pt idx="0">
                  <c:v>Total</c:v>
                </c:pt>
              </c:strCache>
            </c:strRef>
          </c:tx>
          <c:spPr>
            <a:solidFill>
              <a:srgbClr val="D93BAC"/>
            </a:solidFill>
            <a:ln>
              <a:noFill/>
            </a:ln>
            <a:effectLst/>
          </c:spPr>
          <c:invertIfNegative val="0"/>
          <c:dLbls>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'Pivot-Table'!$D$4:$D$9</c:f>
              <c:strCache>
                <c:ptCount val="5"/>
                <c:pt idx="0">
                  <c:v>Books</c:v>
                </c:pt>
                <c:pt idx="1">
                  <c:v>Clothing</c:v>
                </c:pt>
                <c:pt idx="2">
                  <c:v>Electronics</c:v>
                </c:pt>
                <c:pt idx="3">
                  <c:v>Home</c:v>
                </c:pt>
                <c:pt idx="4">
                  <c:v>Sports</c:v>
                </c:pt>
              </c:strCache>
            </c:strRef>
          </c:cat>
          <c:val>
            <c:numRef>
              <c:f>'Pivot-Table'!$E$4:$E$9</c:f>
              <c:numCache>
                <c:formatCode>"₹"\ #,##0.00</c:formatCode>
                <c:ptCount val="5"/>
                <c:pt idx="0">
                  <c:v>43180.9589010989</c:v>
                </c:pt>
                <c:pt idx="1">
                  <c:v>34394.842397708671</c:v>
                </c:pt>
                <c:pt idx="2">
                  <c:v>44177.229560439555</c:v>
                </c:pt>
                <c:pt idx="3">
                  <c:v>34000.058636895017</c:v>
                </c:pt>
                <c:pt idx="4">
                  <c:v>27324.591546644846</c:v>
                </c:pt>
              </c:numCache>
            </c:numRef>
          </c:val>
          <c:extLst>
            <c:ext xmlns:c16="http://schemas.microsoft.com/office/drawing/2014/chart" uri="{C3380CC4-5D6E-409C-BE32-E72D297353CC}">
              <c16:uniqueId val="{00000000-FB5F-4907-A8A5-C9DA5234EEF5}"/>
            </c:ext>
          </c:extLst>
        </c:ser>
        <c:dLbls>
          <c:dLblPos val="outEnd"/>
          <c:showLegendKey val="0"/>
          <c:showVal val="1"/>
          <c:showCatName val="0"/>
          <c:showSerName val="0"/>
          <c:showPercent val="0"/>
          <c:showBubbleSize val="0"/>
        </c:dLbls>
        <c:gapWidth val="219"/>
        <c:overlap val="-27"/>
        <c:axId val="2096230224"/>
        <c:axId val="2096222544"/>
      </c:barChart>
      <c:catAx>
        <c:axId val="2096230224"/>
        <c:scaling>
          <c:orientation val="minMax"/>
        </c:scaling>
        <c:delete val="0"/>
        <c:axPos val="b"/>
        <c:numFmt formatCode="[$$-C09]#,##0.00"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6222544"/>
        <c:crosses val="autoZero"/>
        <c:auto val="1"/>
        <c:lblAlgn val="ctr"/>
        <c:lblOffset val="100"/>
        <c:noMultiLvlLbl val="0"/>
      </c:catAx>
      <c:valAx>
        <c:axId val="2096222544"/>
        <c:scaling>
          <c:orientation val="minMax"/>
        </c:scaling>
        <c:delete val="0"/>
        <c:axPos val="l"/>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62302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7B3E7"/>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[Project-Dashboard.xlsx]Pivot-Table!PivotTable2</c:name>
    <c:fmtId val="8"/>
  </c:pivotSource>
  <c:chart>
    <c:title>
      <c:tx>
        <c:rich>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r>
              <a:rPr lang="en-IN" sz="1600" b="1">
                <a:solidFill>
                  <a:schemeClr val="tx1"/>
                </a:solidFill>
                <a:latin typeface="+mn-lt"/>
              </a:rPr>
              <a:t>Order Status Distribution</a:t>
            </a:r>
          </a:p>
        </c:rich>
      </c:tx>
      <c:layout>
        <c:manualLayout>
          <c:xMode val="edge"/>
          <c:yMode val="edge"/>
          <c:x val="0.17546479833872275"/>
          <c:y val="3.0398089306360822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pivotFmt>
      <c:pivotFmt>
        <c:idx val="2"/>
        <c:spPr>
          <a:solidFill>
            <a:schemeClr val="accent1"/>
          </a:solidFill>
          <a:ln>
            <a:noFill/>
          </a:ln>
          <a:effectLst>
            <a:outerShdw blurRad="317500" algn="ctr" rotWithShape="0">
              <a:prstClr val="black">
                <a:alpha val="25000"/>
              </a:prstClr>
            </a:outerShdw>
          </a:effectLst>
        </c:spPr>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pivotFmt>
      <c:pivotFmt>
        <c:idx val="6"/>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317500" algn="ctr" rotWithShape="0">
              <a:prstClr val="black">
                <a:alpha val="25000"/>
              </a:prstClr>
            </a:outerShdw>
          </a:effectLst>
        </c:spPr>
      </c:pivotFmt>
      <c:pivotFmt>
        <c:idx val="8"/>
        <c:spPr>
          <a:solidFill>
            <a:schemeClr val="accent1"/>
          </a:solidFill>
          <a:ln>
            <a:noFill/>
          </a:ln>
          <a:effectLst>
            <a:outerShdw blurRad="317500" algn="ctr" rotWithShape="0">
              <a:prstClr val="black">
                <a:alpha val="25000"/>
              </a:prstClr>
            </a:outerShdw>
          </a:effectLst>
        </c:spPr>
      </c:pivotFmt>
      <c:pivotFmt>
        <c:idx val="9"/>
        <c:spPr>
          <a:solidFill>
            <a:schemeClr val="accent1"/>
          </a:solidFill>
          <a:ln>
            <a:noFill/>
          </a:ln>
          <a:effectLst>
            <a:outerShdw blurRad="317500" algn="ctr" rotWithShape="0">
              <a:prstClr val="black">
                <a:alpha val="25000"/>
              </a:prstClr>
            </a:outerShdw>
          </a:effectLst>
        </c:spPr>
      </c:pivotFmt>
      <c:pivotFmt>
        <c:idx val="10"/>
        <c:spPr>
          <a:solidFill>
            <a:schemeClr val="accent1"/>
          </a:solidFill>
          <a:ln>
            <a:noFill/>
          </a:ln>
          <a:effectLst>
            <a:outerShdw blurRad="317500" algn="ctr" rotWithShape="0">
              <a:prstClr val="black">
                <a:alpha val="25000"/>
              </a:prstClr>
            </a:outerShdw>
          </a:effectLst>
        </c:spPr>
      </c:pivotFmt>
      <c:pivotFmt>
        <c:idx val="11"/>
        <c:spPr>
          <a:solidFill>
            <a:schemeClr val="accent1"/>
          </a:solidFill>
          <a:ln>
            <a:noFill/>
          </a:ln>
          <a:effectLst>
            <a:outerShdw blurRad="317500" algn="ctr" rotWithShape="0">
              <a:prstClr val="black">
                <a:alpha val="25000"/>
              </a:prstClr>
            </a:outerShdw>
          </a:effectLst>
        </c:spPr>
      </c:pivotFmt>
      <c:pivotFmt>
        <c:idx val="12"/>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3"/>
        <c:spPr>
          <a:solidFill>
            <a:srgbClr val="FF66FF"/>
          </a:solidFill>
          <a:ln>
            <a:noFill/>
          </a:ln>
          <a:effectLst>
            <a:outerShdw blurRad="317500" algn="ctr" rotWithShape="0">
              <a:prstClr val="black">
                <a:alpha val="25000"/>
              </a:prstClr>
            </a:outerShdw>
          </a:effectLst>
        </c:spPr>
        <c:dLbl>
          <c:idx val="0"/>
          <c:layout>
            <c:manualLayout>
              <c:x val="0.12374323279195669"/>
              <c:y val="-0.1018220793140407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4"/>
        <c:spPr>
          <a:solidFill>
            <a:srgbClr val="F7B3E7"/>
          </a:solidFill>
          <a:ln>
            <a:noFill/>
          </a:ln>
          <a:effectLst>
            <a:outerShdw blurRad="317500" algn="ctr" rotWithShape="0">
              <a:prstClr val="black">
                <a:alpha val="25000"/>
              </a:prstClr>
            </a:outerShdw>
          </a:effectLst>
        </c:spPr>
        <c:dLbl>
          <c:idx val="0"/>
          <c:layout>
            <c:manualLayout>
              <c:x val="0.15081206496519708"/>
              <c:y val="-1.60771704180064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5"/>
        <c:spPr>
          <a:solidFill>
            <a:srgbClr val="9532C2"/>
          </a:solidFill>
          <a:ln>
            <a:noFill/>
          </a:ln>
          <a:effectLst>
            <a:outerShdw blurRad="317500" algn="ctr" rotWithShape="0">
              <a:prstClr val="black">
                <a:alpha val="25000"/>
              </a:prstClr>
            </a:outerShdw>
          </a:effectLst>
        </c:spPr>
        <c:dLbl>
          <c:idx val="0"/>
          <c:layout>
            <c:manualLayout>
              <c:x val="0.18174787316318639"/>
              <c:y val="4.823151125401928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6"/>
        <c:spPr>
          <a:solidFill>
            <a:srgbClr val="F494DD"/>
          </a:solidFill>
          <a:ln>
            <a:noFill/>
          </a:ln>
          <a:effectLst>
            <a:outerShdw blurRad="317500" algn="ctr" rotWithShape="0">
              <a:prstClr val="black">
                <a:alpha val="25000"/>
              </a:prstClr>
            </a:outerShdw>
          </a:effectLst>
        </c:spPr>
        <c:dLbl>
          <c:idx val="0"/>
          <c:layout>
            <c:manualLayout>
              <c:x val="-0.14307811291569994"/>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7"/>
        <c:spPr>
          <a:solidFill>
            <a:srgbClr val="E93F9C"/>
          </a:solidFill>
          <a:ln>
            <a:noFill/>
          </a:ln>
          <a:effectLst>
            <a:outerShdw blurRad="317500" algn="ctr" rotWithShape="0">
              <a:prstClr val="black">
                <a:alpha val="25000"/>
              </a:prstClr>
            </a:outerShdw>
          </a:effectLst>
        </c:spPr>
        <c:dLbl>
          <c:idx val="0"/>
          <c:layout>
            <c:manualLayout>
              <c:x val="-0.13147718484145399"/>
              <c:y val="-8.038585209003215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24455791633934393"/>
          <c:y val="0.21063962663831007"/>
          <c:w val="0.51629275748884051"/>
          <c:h val="0.71550539703437377"/>
        </c:manualLayout>
      </c:layout>
      <c:doughnutChart>
        <c:varyColors val="1"/>
        <c:ser>
          <c:idx val="0"/>
          <c:order val="0"/>
          <c:tx>
            <c:strRef>
              <c:f>'Pivot-Table'!$H$2</c:f>
              <c:strCache>
                <c:ptCount val="1"/>
                <c:pt idx="0">
                  <c:v>Total</c:v>
                </c:pt>
              </c:strCache>
            </c:strRef>
          </c:tx>
          <c:dPt>
            <c:idx val="0"/>
            <c:bubble3D val="0"/>
            <c:spPr>
              <a:solidFill>
                <a:srgbClr val="FF66FF"/>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F86D-446B-87B1-D51FB616004E}"/>
              </c:ext>
            </c:extLst>
          </c:dPt>
          <c:dPt>
            <c:idx val="1"/>
            <c:bubble3D val="0"/>
            <c:spPr>
              <a:solidFill>
                <a:srgbClr val="F7B3E7"/>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F86D-446B-87B1-D51FB616004E}"/>
              </c:ext>
            </c:extLst>
          </c:dPt>
          <c:dPt>
            <c:idx val="2"/>
            <c:bubble3D val="0"/>
            <c:spPr>
              <a:solidFill>
                <a:srgbClr val="9532C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F86D-446B-87B1-D51FB616004E}"/>
              </c:ext>
            </c:extLst>
          </c:dPt>
          <c:dPt>
            <c:idx val="3"/>
            <c:bubble3D val="0"/>
            <c:spPr>
              <a:solidFill>
                <a:srgbClr val="F494DD"/>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F86D-446B-87B1-D51FB616004E}"/>
              </c:ext>
            </c:extLst>
          </c:dPt>
          <c:dPt>
            <c:idx val="4"/>
            <c:bubble3D val="0"/>
            <c:spPr>
              <a:solidFill>
                <a:srgbClr val="E93F9C"/>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F86D-446B-87B1-D51FB616004E}"/>
              </c:ext>
            </c:extLst>
          </c:dPt>
          <c:dLbls>
            <c:dLbl>
              <c:idx val="0"/>
              <c:layout>
                <c:manualLayout>
                  <c:x val="0.12374323279195669"/>
                  <c:y val="-0.10182207931404075"/>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F86D-446B-87B1-D51FB616004E}"/>
                </c:ext>
              </c:extLst>
            </c:dLbl>
            <c:dLbl>
              <c:idx val="1"/>
              <c:layout>
                <c:manualLayout>
                  <c:x val="0.15081206496519708"/>
                  <c:y val="-1.607717041800643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F86D-446B-87B1-D51FB616004E}"/>
                </c:ext>
              </c:extLst>
            </c:dLbl>
            <c:dLbl>
              <c:idx val="2"/>
              <c:layout>
                <c:manualLayout>
                  <c:x val="0.18174787316318639"/>
                  <c:y val="4.8231511254019289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F86D-446B-87B1-D51FB616004E}"/>
                </c:ext>
              </c:extLst>
            </c:dLbl>
            <c:dLbl>
              <c:idx val="3"/>
              <c:layout>
                <c:manualLayout>
                  <c:x val="-0.14307811291569994"/>
                  <c:y val="0"/>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F86D-446B-87B1-D51FB616004E}"/>
                </c:ext>
              </c:extLst>
            </c:dLbl>
            <c:dLbl>
              <c:idx val="4"/>
              <c:layout>
                <c:manualLayout>
                  <c:x val="-0.13147718484145399"/>
                  <c:y val="-8.0385852090032156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F86D-446B-87B1-D51FB616004E}"/>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'Pivot-Table'!$G$3:$G$8</c:f>
              <c:strCache>
                <c:ptCount val="5"/>
                <c:pt idx="0">
                  <c:v>Cancelled</c:v>
                </c:pt>
                <c:pt idx="1">
                  <c:v>Delivered</c:v>
                </c:pt>
                <c:pt idx="2">
                  <c:v>Processing</c:v>
                </c:pt>
                <c:pt idx="3">
                  <c:v>Returned</c:v>
                </c:pt>
                <c:pt idx="4">
                  <c:v>Shipped</c:v>
                </c:pt>
              </c:strCache>
            </c:strRef>
          </c:cat>
          <c:val>
            <c:numRef>
              <c:f>'Pivot-Table'!$H$3:$H$8</c:f>
              <c:numCache>
                <c:formatCode>"₹"\ #,##0.00</c:formatCode>
                <c:ptCount val="5"/>
                <c:pt idx="0">
                  <c:v>31159.337802197802</c:v>
                </c:pt>
                <c:pt idx="1">
                  <c:v>16782.162813888241</c:v>
                </c:pt>
                <c:pt idx="2">
                  <c:v>55051.503773673132</c:v>
                </c:pt>
                <c:pt idx="3">
                  <c:v>44017.603262801022</c:v>
                </c:pt>
                <c:pt idx="4">
                  <c:v>36067.073390226789</c:v>
                </c:pt>
              </c:numCache>
            </c:numRef>
          </c:val>
          <c:extLst>
            <c:ext xmlns:c16="http://schemas.microsoft.com/office/drawing/2014/chart" uri="{C3380CC4-5D6E-409C-BE32-E72D297353CC}">
              <c16:uniqueId val="{0000000A-F86D-446B-87B1-D51FB616004E}"/>
            </c:ext>
          </c:extLst>
        </c:ser>
        <c:dLbls>
          <c:showLegendKey val="0"/>
          <c:showVal val="0"/>
          <c:showCatName val="0"/>
          <c:showSerName val="0"/>
          <c:showPercent val="1"/>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7B3E7"/>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[Project-Dashboard.xlsx]Pivot-Table!PivotTable4</c:name>
    <c:fmtId val="4"/>
  </c:pivotSource>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IN" sz="1600" b="1" i="0" u="none" strike="noStrike" kern="1200" spc="-1" baseline="0">
                <a:solidFill>
                  <a:srgbClr val="000000"/>
                </a:solidFill>
                <a:latin typeface="Calibri"/>
              </a:rPr>
              <a:t>Top 10 Products by Revenue (₹)</a:t>
            </a:r>
          </a:p>
        </c:rich>
      </c:tx>
      <c:layout>
        <c:manualLayout>
          <c:xMode val="edge"/>
          <c:yMode val="edge"/>
          <c:x val="0.16027861486449996"/>
          <c:y val="2.7200305318977984E-2"/>
        </c:manualLayout>
      </c:layout>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93BAC"/>
          </a:solidFill>
          <a:ln>
            <a:noFill/>
          </a:ln>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056457228560716"/>
          <c:y val="0.19624338624338625"/>
          <c:w val="0.76556644705126142"/>
          <c:h val="0.68101445652626758"/>
        </c:manualLayout>
      </c:layout>
      <c:barChart>
        <c:barDir val="bar"/>
        <c:grouping val="clustered"/>
        <c:varyColors val="0"/>
        <c:ser>
          <c:idx val="0"/>
          <c:order val="0"/>
          <c:tx>
            <c:strRef>
              <c:f>'Pivot-Table'!$P$3</c:f>
              <c:strCache>
                <c:ptCount val="1"/>
                <c:pt idx="0">
                  <c:v>Total</c:v>
                </c:pt>
              </c:strCache>
            </c:strRef>
          </c:tx>
          <c:spPr>
            <a:solidFill>
              <a:srgbClr val="D93BAC"/>
            </a:solidFill>
            <a:ln>
              <a:noFill/>
            </a:ln>
            <a:effectLst/>
          </c:spPr>
          <c:invertIfNegative val="0"/>
          <c:dLbls>
            <c:numFmt formatCode="#,##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'Pivot-Table'!$O$4:$O$14</c:f>
              <c:strCache>
                <c:ptCount val="10"/>
                <c:pt idx="0">
                  <c:v>Basketball</c:v>
                </c:pt>
                <c:pt idx="1">
                  <c:v>Biography</c:v>
                </c:pt>
                <c:pt idx="2">
                  <c:v>Blender</c:v>
                </c:pt>
                <c:pt idx="3">
                  <c:v>Comics</c:v>
                </c:pt>
                <c:pt idx="4">
                  <c:v>Fiction</c:v>
                </c:pt>
                <c:pt idx="5">
                  <c:v>Lamp</c:v>
                </c:pt>
                <c:pt idx="6">
                  <c:v>Science</c:v>
                </c:pt>
                <c:pt idx="7">
                  <c:v>Shoes</c:v>
                </c:pt>
                <c:pt idx="8">
                  <c:v>T-shirt</c:v>
                </c:pt>
                <c:pt idx="9">
                  <c:v>Vacuum</c:v>
                </c:pt>
              </c:strCache>
            </c:strRef>
          </c:cat>
          <c:val>
            <c:numRef>
              <c:f>'Pivot-Table'!$P$4:$P$14</c:f>
              <c:numCache>
                <c:formatCode>"₹"\ #,##0.00</c:formatCode>
                <c:ptCount val="10"/>
                <c:pt idx="0">
                  <c:v>12376.371560673368</c:v>
                </c:pt>
                <c:pt idx="1">
                  <c:v>9577.39</c:v>
                </c:pt>
                <c:pt idx="2">
                  <c:v>31084.146702127659</c:v>
                </c:pt>
                <c:pt idx="3">
                  <c:v>17836.288901098898</c:v>
                </c:pt>
                <c:pt idx="4">
                  <c:v>7761.57</c:v>
                </c:pt>
                <c:pt idx="5">
                  <c:v>14306.440000000002</c:v>
                </c:pt>
                <c:pt idx="6">
                  <c:v>8005.71</c:v>
                </c:pt>
                <c:pt idx="7">
                  <c:v>17836.318901098901</c:v>
                </c:pt>
                <c:pt idx="8">
                  <c:v>8230.26</c:v>
                </c:pt>
                <c:pt idx="9">
                  <c:v>7537.5828138882389</c:v>
                </c:pt>
              </c:numCache>
            </c:numRef>
          </c:val>
          <c:extLst>
            <c:ext xmlns:c16="http://schemas.microsoft.com/office/drawing/2014/chart" uri="{C3380CC4-5D6E-409C-BE32-E72D297353CC}">
              <c16:uniqueId val="{00000000-0DFA-44B6-914F-B3E9309D512F}"/>
            </c:ext>
          </c:extLst>
        </c:ser>
        <c:dLbls>
          <c:dLblPos val="outEnd"/>
          <c:showLegendKey val="0"/>
          <c:showVal val="1"/>
          <c:showCatName val="0"/>
          <c:showSerName val="0"/>
          <c:showPercent val="0"/>
          <c:showBubbleSize val="0"/>
        </c:dLbls>
        <c:gapWidth val="182"/>
        <c:axId val="2070589936"/>
        <c:axId val="2070591376"/>
      </c:barChart>
      <c:catAx>
        <c:axId val="20705899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0591376"/>
        <c:crosses val="autoZero"/>
        <c:auto val="1"/>
        <c:lblAlgn val="ctr"/>
        <c:lblOffset val="100"/>
        <c:noMultiLvlLbl val="0"/>
      </c:catAx>
      <c:valAx>
        <c:axId val="2070591376"/>
        <c:scaling>
          <c:orientation val="minMax"/>
        </c:scaling>
        <c:delete val="0"/>
        <c:axPos val="b"/>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05899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7B3E7"/>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[Project-Dashboard.xlsx]Pivot-Table!PivotTable3</c:name>
    <c:fmtId val="3"/>
  </c:pivotSource>
  <c:chart>
    <c:title>
      <c:tx>
        <c:rich>
          <a:bodyPr rot="0" spcFirstLastPara="1" vertOverflow="ellipsis" vert="horz" wrap="square" anchor="ctr" anchorCtr="1"/>
          <a:lstStyle/>
          <a:p>
            <a:pPr algn="ctr">
              <a:defRPr sz="1400" b="0" i="0" u="none" strike="noStrike" kern="1200" spc="0" baseline="0">
                <a:solidFill>
                  <a:schemeClr val="tx1"/>
                </a:solidFill>
                <a:latin typeface="+mn-lt"/>
                <a:ea typeface="+mn-ea"/>
                <a:cs typeface="+mn-cs"/>
              </a:defRPr>
            </a:pPr>
            <a:r>
              <a:rPr lang="en-US" sz="1400" b="1">
                <a:solidFill>
                  <a:schemeClr val="tx1"/>
                </a:solidFill>
              </a:rPr>
              <a:t>Monthly Revenue Trend - 2025</a:t>
            </a:r>
          </a:p>
        </c:rich>
      </c:tx>
      <c:layout>
        <c:manualLayout>
          <c:xMode val="edge"/>
          <c:yMode val="edge"/>
          <c:x val="0.14583697871099446"/>
          <c:y val="2.2120474902197713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rgbClr val="9532C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2473510255662486E-2"/>
          <c:y val="0.22340764331210192"/>
          <c:w val="0.86508821813939929"/>
          <c:h val="0.56482730661851976"/>
        </c:manualLayout>
      </c:layout>
      <c:lineChart>
        <c:grouping val="standard"/>
        <c:varyColors val="0"/>
        <c:ser>
          <c:idx val="0"/>
          <c:order val="0"/>
          <c:tx>
            <c:strRef>
              <c:f>'Pivot-Table'!$L$3</c:f>
              <c:strCache>
                <c:ptCount val="1"/>
                <c:pt idx="0">
                  <c:v>Total</c:v>
                </c:pt>
              </c:strCache>
            </c:strRef>
          </c:tx>
          <c:spPr>
            <a:ln w="28575" cap="rnd">
              <a:solidFill>
                <a:srgbClr val="9532C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'Pivot-Table'!$K$4:$K$16</c:f>
              <c:multiLvlStrCache>
                <c:ptCount val="11"/>
                <c:lvl>
                  <c:pt idx="0">
                    <c:v>Jan</c:v>
                  </c:pt>
                  <c:pt idx="1">
                    <c:v>Feb</c:v>
                  </c:pt>
                  <c:pt idx="2">
                    <c:v>Mar</c:v>
                  </c:pt>
                  <c:pt idx="3">
                    <c:v>Apr</c:v>
                  </c:pt>
                  <c:pt idx="4">
                    <c:v>May</c:v>
                  </c:pt>
                  <c:pt idx="5">
                    <c:v>Jun</c:v>
                  </c:pt>
                  <c:pt idx="6">
                    <c:v>Jul</c:v>
                  </c:pt>
                  <c:pt idx="7">
                    <c:v>Aug</c:v>
                  </c:pt>
                  <c:pt idx="8">
                    <c:v>Sep</c:v>
                  </c:pt>
                  <c:pt idx="9">
                    <c:v>Oct</c:v>
                  </c:pt>
                  <c:pt idx="10">
                    <c:v>Nov</c:v>
                  </c:pt>
                </c:lvl>
                <c:lvl>
                  <c:pt idx="0">
                    <c:v>2025</c:v>
                  </c:pt>
                </c:lvl>
              </c:multiLvlStrCache>
            </c:multiLvlStrRef>
          </c:cat>
          <c:val>
            <c:numRef>
              <c:f>'Pivot-Table'!$L$4:$L$16</c:f>
              <c:numCache>
                <c:formatCode>General</c:formatCode>
                <c:ptCount val="11"/>
                <c:pt idx="0">
                  <c:v>5</c:v>
                </c:pt>
                <c:pt idx="1">
                  <c:v>13</c:v>
                </c:pt>
                <c:pt idx="2">
                  <c:v>5</c:v>
                </c:pt>
                <c:pt idx="3">
                  <c:v>2</c:v>
                </c:pt>
                <c:pt idx="4">
                  <c:v>9</c:v>
                </c:pt>
                <c:pt idx="5">
                  <c:v>9</c:v>
                </c:pt>
                <c:pt idx="6">
                  <c:v>13</c:v>
                </c:pt>
                <c:pt idx="7">
                  <c:v>7</c:v>
                </c:pt>
                <c:pt idx="8">
                  <c:v>5</c:v>
                </c:pt>
                <c:pt idx="9">
                  <c:v>11</c:v>
                </c:pt>
                <c:pt idx="10">
                  <c:v>2</c:v>
                </c:pt>
              </c:numCache>
            </c:numRef>
          </c:val>
          <c:smooth val="0"/>
          <c:extLst>
            <c:ext xmlns:c16="http://schemas.microsoft.com/office/drawing/2014/chart" uri="{C3380CC4-5D6E-409C-BE32-E72D297353CC}">
              <c16:uniqueId val="{00000000-4310-41A8-B170-F9EE3C450FB6}"/>
            </c:ext>
          </c:extLst>
        </c:ser>
        <c:dLbls>
          <c:dLblPos val="t"/>
          <c:showLegendKey val="0"/>
          <c:showVal val="1"/>
          <c:showCatName val="0"/>
          <c:showSerName val="0"/>
          <c:showPercent val="0"/>
          <c:showBubbleSize val="0"/>
        </c:dLbls>
        <c:smooth val="0"/>
        <c:axId val="2079910288"/>
        <c:axId val="2079912208"/>
      </c:lineChart>
      <c:catAx>
        <c:axId val="2079910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9912208"/>
        <c:crosses val="autoZero"/>
        <c:auto val="1"/>
        <c:lblAlgn val="ctr"/>
        <c:lblOffset val="100"/>
        <c:noMultiLvlLbl val="0"/>
      </c:catAx>
      <c:valAx>
        <c:axId val="207991220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9910288"/>
        <c:crosses val="autoZero"/>
        <c:crossBetween val="between"/>
      </c:valAx>
      <c:spPr>
        <a:solidFill>
          <a:srgbClr val="F7B3E7"/>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7B3E7"/>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[Project-Dashboard.xlsx]Pivot-Table!PivotTable3</c:name>
    <c:fmtId val="5"/>
  </c:pivotSource>
  <c:chart>
    <c:title>
      <c:tx>
        <c:rich>
          <a:bodyPr rot="0" spcFirstLastPara="1" vertOverflow="ellipsis" vert="horz" wrap="square" anchor="ctr" anchorCtr="1"/>
          <a:lstStyle/>
          <a:p>
            <a:pPr algn="ctr">
              <a:defRPr sz="1400" b="0" i="0" u="none" strike="noStrike" kern="1200" spc="0" baseline="0">
                <a:solidFill>
                  <a:schemeClr val="tx1"/>
                </a:solidFill>
                <a:latin typeface="+mn-lt"/>
                <a:ea typeface="+mn-ea"/>
                <a:cs typeface="+mn-cs"/>
              </a:defRPr>
            </a:pPr>
            <a:r>
              <a:rPr lang="en-US" sz="1600" b="1">
                <a:solidFill>
                  <a:schemeClr val="tx1"/>
                </a:solidFill>
              </a:rPr>
              <a:t>Monthly  Order Count - 2025</a:t>
            </a:r>
          </a:p>
        </c:rich>
      </c:tx>
      <c:layout>
        <c:manualLayout>
          <c:xMode val="edge"/>
          <c:yMode val="edge"/>
          <c:x val="0.13023738563053452"/>
          <c:y val="2.8193954204000359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93BA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'Pivot-Table'!$L$3</c:f>
              <c:strCache>
                <c:ptCount val="1"/>
                <c:pt idx="0">
                  <c:v>Total</c:v>
                </c:pt>
              </c:strCache>
            </c:strRef>
          </c:tx>
          <c:spPr>
            <a:solidFill>
              <a:srgbClr val="D93BAC"/>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'Pivot-Table'!$K$4:$K$16</c:f>
              <c:multiLvlStrCache>
                <c:ptCount val="11"/>
                <c:lvl>
                  <c:pt idx="0">
                    <c:v>Jan</c:v>
                  </c:pt>
                  <c:pt idx="1">
                    <c:v>Feb</c:v>
                  </c:pt>
                  <c:pt idx="2">
                    <c:v>Mar</c:v>
                  </c:pt>
                  <c:pt idx="3">
                    <c:v>Apr</c:v>
                  </c:pt>
                  <c:pt idx="4">
                    <c:v>May</c:v>
                  </c:pt>
                  <c:pt idx="5">
                    <c:v>Jun</c:v>
                  </c:pt>
                  <c:pt idx="6">
                    <c:v>Jul</c:v>
                  </c:pt>
                  <c:pt idx="7">
                    <c:v>Aug</c:v>
                  </c:pt>
                  <c:pt idx="8">
                    <c:v>Sep</c:v>
                  </c:pt>
                  <c:pt idx="9">
                    <c:v>Oct</c:v>
                  </c:pt>
                  <c:pt idx="10">
                    <c:v>Nov</c:v>
                  </c:pt>
                </c:lvl>
                <c:lvl>
                  <c:pt idx="0">
                    <c:v>2025</c:v>
                  </c:pt>
                </c:lvl>
              </c:multiLvlStrCache>
            </c:multiLvlStrRef>
          </c:cat>
          <c:val>
            <c:numRef>
              <c:f>'Pivot-Table'!$L$4:$L$16</c:f>
              <c:numCache>
                <c:formatCode>General</c:formatCode>
                <c:ptCount val="11"/>
                <c:pt idx="0">
                  <c:v>5</c:v>
                </c:pt>
                <c:pt idx="1">
                  <c:v>13</c:v>
                </c:pt>
                <c:pt idx="2">
                  <c:v>5</c:v>
                </c:pt>
                <c:pt idx="3">
                  <c:v>2</c:v>
                </c:pt>
                <c:pt idx="4">
                  <c:v>9</c:v>
                </c:pt>
                <c:pt idx="5">
                  <c:v>9</c:v>
                </c:pt>
                <c:pt idx="6">
                  <c:v>13</c:v>
                </c:pt>
                <c:pt idx="7">
                  <c:v>7</c:v>
                </c:pt>
                <c:pt idx="8">
                  <c:v>5</c:v>
                </c:pt>
                <c:pt idx="9">
                  <c:v>11</c:v>
                </c:pt>
                <c:pt idx="10">
                  <c:v>2</c:v>
                </c:pt>
              </c:numCache>
            </c:numRef>
          </c:val>
          <c:extLst>
            <c:ext xmlns:c16="http://schemas.microsoft.com/office/drawing/2014/chart" uri="{C3380CC4-5D6E-409C-BE32-E72D297353CC}">
              <c16:uniqueId val="{00000000-F596-4CC5-946A-142F7B439FA3}"/>
            </c:ext>
          </c:extLst>
        </c:ser>
        <c:dLbls>
          <c:dLblPos val="outEnd"/>
          <c:showLegendKey val="0"/>
          <c:showVal val="1"/>
          <c:showCatName val="0"/>
          <c:showSerName val="0"/>
          <c:showPercent val="0"/>
          <c:showBubbleSize val="0"/>
        </c:dLbls>
        <c:gapWidth val="219"/>
        <c:overlap val="-27"/>
        <c:axId val="2077871072"/>
        <c:axId val="2077870592"/>
      </c:barChart>
      <c:catAx>
        <c:axId val="207787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7870592"/>
        <c:crosses val="autoZero"/>
        <c:auto val="1"/>
        <c:lblAlgn val="ctr"/>
        <c:lblOffset val="100"/>
        <c:noMultiLvlLbl val="0"/>
      </c:catAx>
      <c:valAx>
        <c:axId val="20778705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78710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7B3E7"/>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[Project-Dashboard.xlsx]Pivot-Table!PivotTable5</c:name>
    <c:fmtId val="4"/>
  </c:pivotSource>
  <c:chart>
    <c:title>
      <c:tx>
        <c:rich>
          <a:bodyPr rot="0" spcFirstLastPara="1" vertOverflow="ellipsis" vert="horz" wrap="square" anchor="ctr" anchorCtr="1"/>
          <a:lstStyle/>
          <a:p>
            <a:pPr>
              <a:defRPr sz="1600" b="1" i="0" u="none" strike="noStrike" kern="1200" baseline="0">
                <a:solidFill>
                  <a:schemeClr val="dk1">
                    <a:lumMod val="65000"/>
                    <a:lumOff val="35000"/>
                  </a:schemeClr>
                </a:solidFill>
                <a:latin typeface="+mn-lt"/>
                <a:ea typeface="+mn-ea"/>
                <a:cs typeface="+mn-cs"/>
              </a:defRPr>
            </a:pPr>
            <a:r>
              <a:rPr lang="en-IN" sz="1600" b="1" i="0" u="none" strike="noStrike" kern="1200" spc="-1" baseline="0">
                <a:solidFill>
                  <a:srgbClr val="000000"/>
                </a:solidFill>
                <a:latin typeface="Calibri"/>
              </a:rPr>
              <a:t>Revenue by Payment Method</a:t>
            </a:r>
          </a:p>
        </c:rich>
      </c:tx>
      <c:layout>
        <c:manualLayout>
          <c:xMode val="edge"/>
          <c:yMode val="edge"/>
          <c:x val="0.163432557553922"/>
          <c:y val="6.5692940259600664E-3"/>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pivotFmt>
      <c:pivotFmt>
        <c:idx val="6"/>
        <c:spPr>
          <a:solidFill>
            <a:schemeClr val="accent1"/>
          </a:solidFill>
          <a:ln>
            <a:noFill/>
          </a:ln>
          <a:effectLst>
            <a:outerShdw blurRad="317500" algn="ctr" rotWithShape="0">
              <a:prstClr val="black">
                <a:alpha val="25000"/>
              </a:prstClr>
            </a:outerShdw>
          </a:effectLst>
        </c:spPr>
      </c:pivotFmt>
      <c:pivotFmt>
        <c:idx val="7"/>
        <c:spPr>
          <a:solidFill>
            <a:schemeClr val="accent1"/>
          </a:solidFill>
          <a:ln>
            <a:noFill/>
          </a:ln>
          <a:effectLst>
            <a:outerShdw blurRad="317500" algn="ctr" rotWithShape="0">
              <a:prstClr val="black">
                <a:alpha val="25000"/>
              </a:prstClr>
            </a:outerShdw>
          </a:effectLst>
        </c:spPr>
      </c:pivotFmt>
      <c:pivotFmt>
        <c:idx val="8"/>
        <c:spPr>
          <a:solidFill>
            <a:schemeClr val="accent1"/>
          </a:solidFill>
          <a:ln>
            <a:noFill/>
          </a:ln>
          <a:effectLst>
            <a:outerShdw blurRad="317500" algn="ctr" rotWithShape="0">
              <a:prstClr val="black">
                <a:alpha val="25000"/>
              </a:prstClr>
            </a:outerShdw>
          </a:effectLst>
        </c:spPr>
      </c:pivotFmt>
      <c:pivotFmt>
        <c:idx val="9"/>
        <c:spPr>
          <a:solidFill>
            <a:schemeClr val="accent1"/>
          </a:solidFill>
          <a:ln>
            <a:noFill/>
          </a:ln>
          <a:effectLst>
            <a:outerShdw blurRad="317500" algn="ctr" rotWithShape="0">
              <a:prstClr val="black">
                <a:alpha val="25000"/>
              </a:prstClr>
            </a:outerShdw>
          </a:effectLst>
        </c:spPr>
      </c:pivotFmt>
      <c:pivotFmt>
        <c:idx val="10"/>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317500" algn="ctr" rotWithShape="0">
              <a:prstClr val="black">
                <a:alpha val="25000"/>
              </a:prstClr>
            </a:outerShdw>
          </a:effectLst>
        </c:spPr>
      </c:pivotFmt>
      <c:pivotFmt>
        <c:idx val="12"/>
        <c:spPr>
          <a:solidFill>
            <a:schemeClr val="accent1"/>
          </a:solidFill>
          <a:ln>
            <a:noFill/>
          </a:ln>
          <a:effectLst>
            <a:outerShdw blurRad="317500" algn="ctr" rotWithShape="0">
              <a:prstClr val="black">
                <a:alpha val="25000"/>
              </a:prstClr>
            </a:outerShdw>
          </a:effectLst>
        </c:spPr>
      </c:pivotFmt>
      <c:pivotFmt>
        <c:idx val="13"/>
        <c:spPr>
          <a:solidFill>
            <a:schemeClr val="accent1"/>
          </a:solidFill>
          <a:ln>
            <a:noFill/>
          </a:ln>
          <a:effectLst>
            <a:outerShdw blurRad="317500" algn="ctr" rotWithShape="0">
              <a:prstClr val="black">
                <a:alpha val="25000"/>
              </a:prstClr>
            </a:outerShdw>
          </a:effectLst>
        </c:spPr>
      </c:pivotFmt>
      <c:pivotFmt>
        <c:idx val="14"/>
        <c:spPr>
          <a:solidFill>
            <a:schemeClr val="accent1"/>
          </a:solidFill>
          <a:ln>
            <a:noFill/>
          </a:ln>
          <a:effectLst>
            <a:outerShdw blurRad="317500" algn="ctr" rotWithShape="0">
              <a:prstClr val="black">
                <a:alpha val="25000"/>
              </a:prstClr>
            </a:outerShdw>
          </a:effectLst>
        </c:spPr>
      </c:pivotFmt>
      <c:pivotFmt>
        <c:idx val="15"/>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6"/>
        <c:spPr>
          <a:solidFill>
            <a:schemeClr val="accent1"/>
          </a:solidFill>
          <a:ln>
            <a:noFill/>
          </a:ln>
          <a:effectLst>
            <a:outerShdw blurRad="317500" algn="ctr" rotWithShape="0">
              <a:prstClr val="black">
                <a:alpha val="25000"/>
              </a:prstClr>
            </a:outerShdw>
          </a:effectLst>
        </c:spPr>
      </c:pivotFmt>
      <c:pivotFmt>
        <c:idx val="17"/>
        <c:spPr>
          <a:solidFill>
            <a:schemeClr val="accent1"/>
          </a:solidFill>
          <a:ln>
            <a:noFill/>
          </a:ln>
          <a:effectLst>
            <a:outerShdw blurRad="317500" algn="ctr" rotWithShape="0">
              <a:prstClr val="black">
                <a:alpha val="25000"/>
              </a:prstClr>
            </a:outerShdw>
          </a:effectLst>
        </c:spPr>
      </c:pivotFmt>
      <c:pivotFmt>
        <c:idx val="18"/>
        <c:spPr>
          <a:solidFill>
            <a:schemeClr val="accent1"/>
          </a:solidFill>
          <a:ln>
            <a:noFill/>
          </a:ln>
          <a:effectLst>
            <a:outerShdw blurRad="317500" algn="ctr" rotWithShape="0">
              <a:prstClr val="black">
                <a:alpha val="25000"/>
              </a:prstClr>
            </a:outerShdw>
          </a:effectLst>
        </c:spPr>
      </c:pivotFmt>
      <c:pivotFmt>
        <c:idx val="19"/>
        <c:spPr>
          <a:solidFill>
            <a:schemeClr val="accent1"/>
          </a:solidFill>
          <a:ln>
            <a:noFill/>
          </a:ln>
          <a:effectLst>
            <a:outerShdw blurRad="317500" algn="ctr" rotWithShape="0">
              <a:prstClr val="black">
                <a:alpha val="25000"/>
              </a:prstClr>
            </a:outerShdw>
          </a:effectLst>
        </c:spPr>
      </c:pivotFmt>
      <c:pivotFmt>
        <c:idx val="20"/>
        <c:spPr>
          <a:solidFill>
            <a:srgbClr val="F7B3E7"/>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21"/>
        <c:spPr>
          <a:solidFill>
            <a:srgbClr val="F494DD"/>
          </a:solidFill>
          <a:ln>
            <a:noFill/>
          </a:ln>
          <a:effectLst>
            <a:outerShdw blurRad="317500" algn="ctr" rotWithShape="0">
              <a:prstClr val="black">
                <a:alpha val="25000"/>
              </a:prstClr>
            </a:outerShdw>
          </a:effectLst>
        </c:spPr>
        <c:dLbl>
          <c:idx val="0"/>
          <c:layout>
            <c:manualLayout>
              <c:x val="1.4027709174729543E-2"/>
              <c:y val="0.1005513602608547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2"/>
        <c:spPr>
          <a:solidFill>
            <a:srgbClr val="9532C2"/>
          </a:solidFill>
          <a:ln>
            <a:noFill/>
          </a:ln>
          <a:effectLst>
            <a:outerShdw blurRad="317500" algn="ctr" rotWithShape="0">
              <a:prstClr val="black">
                <a:alpha val="25000"/>
              </a:prstClr>
            </a:outerShdw>
          </a:effectLst>
        </c:spPr>
        <c:dLbl>
          <c:idx val="0"/>
          <c:layout>
            <c:manualLayout>
              <c:x val="0.1298630232570622"/>
              <c:y val="-1.69277620785207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3"/>
        <c:spPr>
          <a:solidFill>
            <a:srgbClr val="F7B3E7"/>
          </a:solidFill>
          <a:ln>
            <a:noFill/>
          </a:ln>
          <a:effectLst>
            <a:outerShdw blurRad="317500" algn="ctr" rotWithShape="0">
              <a:prstClr val="black">
                <a:alpha val="25000"/>
              </a:prstClr>
            </a:outerShdw>
          </a:effectLst>
        </c:spPr>
        <c:dLbl>
          <c:idx val="0"/>
          <c:layout>
            <c:manualLayout>
              <c:x val="1.1634512014411482E-2"/>
              <c:y val="-3.73164745191834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4"/>
        <c:spPr>
          <a:solidFill>
            <a:srgbClr val="E93F9C"/>
          </a:solidFill>
          <a:ln>
            <a:noFill/>
          </a:ln>
          <a:effectLst>
            <a:outerShdw blurRad="317500" algn="ctr" rotWithShape="0">
              <a:prstClr val="black">
                <a:alpha val="25000"/>
              </a:prstClr>
            </a:outerShdw>
          </a:effectLst>
        </c:spPr>
        <c:dLbl>
          <c:idx val="0"/>
          <c:layout>
            <c:manualLayout>
              <c:x val="7.8667518958653593E-3"/>
              <c:y val="5.035518171150105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5"/>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6"/>
        <c:spPr>
          <a:solidFill>
            <a:schemeClr val="accent1"/>
          </a:solidFill>
          <a:ln>
            <a:noFill/>
          </a:ln>
          <a:effectLst>
            <a:outerShdw blurRad="317500" algn="ctr" rotWithShape="0">
              <a:prstClr val="black">
                <a:alpha val="25000"/>
              </a:prstClr>
            </a:outerShdw>
          </a:effectLst>
        </c:spPr>
      </c:pivotFmt>
      <c:pivotFmt>
        <c:idx val="27"/>
        <c:spPr>
          <a:solidFill>
            <a:schemeClr val="accent1"/>
          </a:solidFill>
          <a:ln>
            <a:noFill/>
          </a:ln>
          <a:effectLst>
            <a:outerShdw blurRad="317500" algn="ctr" rotWithShape="0">
              <a:prstClr val="black">
                <a:alpha val="25000"/>
              </a:prstClr>
            </a:outerShdw>
          </a:effectLst>
        </c:spPr>
      </c:pivotFmt>
      <c:pivotFmt>
        <c:idx val="28"/>
        <c:spPr>
          <a:solidFill>
            <a:schemeClr val="accent1"/>
          </a:solidFill>
          <a:ln>
            <a:noFill/>
          </a:ln>
          <a:effectLst>
            <a:outerShdw blurRad="317500" algn="ctr" rotWithShape="0">
              <a:prstClr val="black">
                <a:alpha val="25000"/>
              </a:prstClr>
            </a:outerShdw>
          </a:effectLst>
        </c:spPr>
      </c:pivotFmt>
      <c:pivotFmt>
        <c:idx val="29"/>
        <c:spPr>
          <a:solidFill>
            <a:schemeClr val="accent2"/>
          </a:solidFill>
          <a:ln>
            <a:noFill/>
          </a:ln>
          <a:effectLst>
            <a:outerShdw blurRad="317500" algn="ctr" rotWithShape="0">
              <a:prstClr val="black">
                <a:alpha val="25000"/>
              </a:prstClr>
            </a:outerShdw>
          </a:effectLst>
        </c:spPr>
      </c:pivotFmt>
    </c:pivotFmts>
    <c:plotArea>
      <c:layout/>
      <c:pieChart>
        <c:varyColors val="1"/>
        <c:ser>
          <c:idx val="0"/>
          <c:order val="0"/>
          <c:tx>
            <c:strRef>
              <c:f>'Pivot-Table'!$S$3</c:f>
              <c:strCache>
                <c:ptCount val="1"/>
                <c:pt idx="0">
                  <c:v>Revenue</c:v>
                </c:pt>
              </c:strCache>
            </c:strRef>
          </c:tx>
          <c:spPr>
            <a:solidFill>
              <a:srgbClr val="F7B3E7"/>
            </a:solidFill>
          </c:spPr>
          <c:dPt>
            <c:idx val="0"/>
            <c:bubble3D val="0"/>
            <c:spPr>
              <a:solidFill>
                <a:srgbClr val="F494DD"/>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6CE8-4CCF-86D8-56D33063C20C}"/>
              </c:ext>
            </c:extLst>
          </c:dPt>
          <c:dPt>
            <c:idx val="1"/>
            <c:bubble3D val="0"/>
            <c:spPr>
              <a:solidFill>
                <a:srgbClr val="9532C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6CE8-4CCF-86D8-56D33063C20C}"/>
              </c:ext>
            </c:extLst>
          </c:dPt>
          <c:dPt>
            <c:idx val="2"/>
            <c:bubble3D val="0"/>
            <c:spPr>
              <a:solidFill>
                <a:srgbClr val="F7B3E7"/>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6CE8-4CCF-86D8-56D33063C20C}"/>
              </c:ext>
            </c:extLst>
          </c:dPt>
          <c:dPt>
            <c:idx val="3"/>
            <c:bubble3D val="0"/>
            <c:spPr>
              <a:solidFill>
                <a:srgbClr val="E93F9C"/>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6CE8-4CCF-86D8-56D33063C20C}"/>
              </c:ext>
            </c:extLst>
          </c:dPt>
          <c:dLbls>
            <c:dLbl>
              <c:idx val="0"/>
              <c:layout>
                <c:manualLayout>
                  <c:x val="1.4027709174729543E-2"/>
                  <c:y val="0.1005513602608547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6CE8-4CCF-86D8-56D33063C20C}"/>
                </c:ext>
              </c:extLst>
            </c:dLbl>
            <c:dLbl>
              <c:idx val="1"/>
              <c:layout>
                <c:manualLayout>
                  <c:x val="0.1298630232570622"/>
                  <c:y val="-1.6927762078520779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6CE8-4CCF-86D8-56D33063C20C}"/>
                </c:ext>
              </c:extLst>
            </c:dLbl>
            <c:dLbl>
              <c:idx val="2"/>
              <c:layout>
                <c:manualLayout>
                  <c:x val="1.1634512014411482E-2"/>
                  <c:y val="-3.7316474519183497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6CE8-4CCF-86D8-56D33063C20C}"/>
                </c:ext>
              </c:extLst>
            </c:dLbl>
            <c:dLbl>
              <c:idx val="3"/>
              <c:layout>
                <c:manualLayout>
                  <c:x val="7.8667518958653593E-3"/>
                  <c:y val="5.0355181711501051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6CE8-4CCF-86D8-56D33063C20C}"/>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'Pivot-Table'!$R$4:$R$8</c:f>
              <c:strCache>
                <c:ptCount val="4"/>
                <c:pt idx="0">
                  <c:v>Bank Transfer</c:v>
                </c:pt>
                <c:pt idx="1">
                  <c:v>Cash on Delivery</c:v>
                </c:pt>
                <c:pt idx="2">
                  <c:v>Credit Card</c:v>
                </c:pt>
                <c:pt idx="3">
                  <c:v>PayPal</c:v>
                </c:pt>
              </c:strCache>
            </c:strRef>
          </c:cat>
          <c:val>
            <c:numRef>
              <c:f>'Pivot-Table'!$S$4:$S$8</c:f>
              <c:numCache>
                <c:formatCode>"₹"\ #,##0.00</c:formatCode>
                <c:ptCount val="4"/>
                <c:pt idx="0">
                  <c:v>47107.71582300678</c:v>
                </c:pt>
                <c:pt idx="1">
                  <c:v>74850.325093523497</c:v>
                </c:pt>
                <c:pt idx="2">
                  <c:v>25672.704361702126</c:v>
                </c:pt>
                <c:pt idx="3">
                  <c:v>35446.935764554604</c:v>
                </c:pt>
              </c:numCache>
            </c:numRef>
          </c:val>
          <c:extLst>
            <c:ext xmlns:c16="http://schemas.microsoft.com/office/drawing/2014/chart" uri="{C3380CC4-5D6E-409C-BE32-E72D297353CC}">
              <c16:uniqueId val="{00000008-6CE8-4CCF-86D8-56D33063C20C}"/>
            </c:ext>
          </c:extLst>
        </c:ser>
        <c:ser>
          <c:idx val="1"/>
          <c:order val="1"/>
          <c:tx>
            <c:strRef>
              <c:f>'Pivot-Table'!$T$3</c:f>
              <c:strCache>
                <c:ptCount val="1"/>
                <c:pt idx="0">
                  <c:v>Count</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A-6CE8-4CCF-86D8-56D33063C20C}"/>
              </c:ext>
            </c:extLst>
          </c:dPt>
          <c:dPt>
            <c:idx val="1"/>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C-6CE8-4CCF-86D8-56D33063C20C}"/>
              </c:ext>
            </c:extLst>
          </c:dPt>
          <c:dPt>
            <c:idx val="2"/>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E-6CE8-4CCF-86D8-56D33063C20C}"/>
              </c:ext>
            </c:extLst>
          </c:dPt>
          <c:dPt>
            <c:idx val="3"/>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0-6CE8-4CCF-86D8-56D33063C20C}"/>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'Pivot-Table'!$R$4:$R$8</c:f>
              <c:strCache>
                <c:ptCount val="4"/>
                <c:pt idx="0">
                  <c:v>Bank Transfer</c:v>
                </c:pt>
                <c:pt idx="1">
                  <c:v>Cash on Delivery</c:v>
                </c:pt>
                <c:pt idx="2">
                  <c:v>Credit Card</c:v>
                </c:pt>
                <c:pt idx="3">
                  <c:v>PayPal</c:v>
                </c:pt>
              </c:strCache>
            </c:strRef>
          </c:cat>
          <c:val>
            <c:numRef>
              <c:f>'Pivot-Table'!$T$4:$T$8</c:f>
              <c:numCache>
                <c:formatCode>General</c:formatCode>
                <c:ptCount val="4"/>
                <c:pt idx="0">
                  <c:v>22</c:v>
                </c:pt>
                <c:pt idx="1">
                  <c:v>33</c:v>
                </c:pt>
                <c:pt idx="2">
                  <c:v>21</c:v>
                </c:pt>
                <c:pt idx="3">
                  <c:v>24</c:v>
                </c:pt>
              </c:numCache>
            </c:numRef>
          </c:val>
          <c:extLst>
            <c:ext xmlns:c16="http://schemas.microsoft.com/office/drawing/2014/chart" uri="{C3380CC4-5D6E-409C-BE32-E72D297353CC}">
              <c16:uniqueId val="{00000011-6CE8-4CCF-86D8-56D33063C20C}"/>
            </c:ext>
          </c:extLst>
        </c:ser>
        <c:dLbls>
          <c:dLblPos val="inEnd"/>
          <c:showLegendKey val="0"/>
          <c:showVal val="0"/>
          <c:showCatName val="0"/>
          <c:showSerName val="0"/>
          <c:showPercent val="1"/>
          <c:showBubbleSize val="0"/>
          <c:showLeaderLines val="1"/>
        </c:dLbls>
        <c:firstSliceAng val="36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7B3E7"/>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[Project-Dashboard.xlsx]Pivot-Table!PivotTable6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kern="1200" spc="-1" baseline="0">
                <a:solidFill>
                  <a:srgbClr val="000000"/>
                </a:solidFill>
                <a:latin typeface="Calibri"/>
              </a:rPr>
              <a:t>Revenue by Category &amp; Status (Stacked)</a:t>
            </a:r>
          </a:p>
        </c:rich>
      </c:tx>
      <c:layout>
        <c:manualLayout>
          <c:xMode val="edge"/>
          <c:yMode val="edge"/>
          <c:x val="0.19742180664916886"/>
          <c:y val="2.054794243502016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rgbClr val="FF66FF"/>
          </a:solidFill>
          <a:ln>
            <a:noFill/>
          </a:ln>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F5A5D1"/>
          </a:solidFill>
          <a:ln>
            <a:noFill/>
          </a:ln>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E93F9C"/>
          </a:solidFill>
          <a:ln>
            <a:noFill/>
          </a:ln>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9532C2"/>
          </a:solidFill>
          <a:ln>
            <a:noFill/>
          </a:ln>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F7B3E7"/>
          </a:solidFill>
          <a:ln>
            <a:noFill/>
          </a:ln>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4911110763242074E-2"/>
          <c:y val="0.14424920127795526"/>
          <c:w val="0.86864091044285463"/>
          <c:h val="0.73222434655731927"/>
        </c:manualLayout>
      </c:layout>
      <c:barChart>
        <c:barDir val="col"/>
        <c:grouping val="stacked"/>
        <c:varyColors val="0"/>
        <c:ser>
          <c:idx val="0"/>
          <c:order val="0"/>
          <c:tx>
            <c:strRef>
              <c:f>'Pivot-Table'!$C$20:$C$21</c:f>
              <c:strCache>
                <c:ptCount val="1"/>
                <c:pt idx="0">
                  <c:v>Cancelled</c:v>
                </c:pt>
              </c:strCache>
            </c:strRef>
          </c:tx>
          <c:spPr>
            <a:solidFill>
              <a:srgbClr val="FF66FF"/>
            </a:solidFill>
            <a:ln>
              <a:noFill/>
            </a:ln>
            <a:effectLst/>
          </c:spPr>
          <c:invertIfNegative val="0"/>
          <c:dLbls>
            <c:numFmt formatCode="#,##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'Pivot-Table'!$B$22:$B$27</c:f>
              <c:strCache>
                <c:ptCount val="5"/>
                <c:pt idx="0">
                  <c:v>Books</c:v>
                </c:pt>
                <c:pt idx="1">
                  <c:v>Clothing</c:v>
                </c:pt>
                <c:pt idx="2">
                  <c:v>Electronics</c:v>
                </c:pt>
                <c:pt idx="3">
                  <c:v>Home</c:v>
                </c:pt>
                <c:pt idx="4">
                  <c:v>Sports</c:v>
                </c:pt>
              </c:strCache>
            </c:strRef>
          </c:cat>
          <c:val>
            <c:numRef>
              <c:f>'Pivot-Table'!$C$22:$C$27</c:f>
              <c:numCache>
                <c:formatCode>"₹"\ #,##0.00</c:formatCode>
                <c:ptCount val="5"/>
                <c:pt idx="0">
                  <c:v>7872.5289010989</c:v>
                </c:pt>
                <c:pt idx="1">
                  <c:v>7481.05</c:v>
                </c:pt>
                <c:pt idx="2">
                  <c:v>6761.73</c:v>
                </c:pt>
                <c:pt idx="3">
                  <c:v>4108.3599999999997</c:v>
                </c:pt>
                <c:pt idx="4">
                  <c:v>4935.6689010989003</c:v>
                </c:pt>
              </c:numCache>
            </c:numRef>
          </c:val>
          <c:extLst>
            <c:ext xmlns:c16="http://schemas.microsoft.com/office/drawing/2014/chart" uri="{C3380CC4-5D6E-409C-BE32-E72D297353CC}">
              <c16:uniqueId val="{00000000-B04D-494B-98D6-C9406DCE7900}"/>
            </c:ext>
          </c:extLst>
        </c:ser>
        <c:ser>
          <c:idx val="1"/>
          <c:order val="1"/>
          <c:tx>
            <c:strRef>
              <c:f>'Pivot-Table'!$D$20:$D$21</c:f>
              <c:strCache>
                <c:ptCount val="1"/>
                <c:pt idx="0">
                  <c:v>Delivered</c:v>
                </c:pt>
              </c:strCache>
            </c:strRef>
          </c:tx>
          <c:spPr>
            <a:solidFill>
              <a:srgbClr val="F5A5D1"/>
            </a:solidFill>
            <a:ln>
              <a:noFill/>
            </a:ln>
            <a:effectLst/>
          </c:spPr>
          <c:invertIfNegative val="0"/>
          <c:dLbls>
            <c:numFmt formatCode="#,##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'Pivot-Table'!$B$22:$B$27</c:f>
              <c:strCache>
                <c:ptCount val="5"/>
                <c:pt idx="0">
                  <c:v>Books</c:v>
                </c:pt>
                <c:pt idx="1">
                  <c:v>Clothing</c:v>
                </c:pt>
                <c:pt idx="2">
                  <c:v>Electronics</c:v>
                </c:pt>
                <c:pt idx="3">
                  <c:v>Home</c:v>
                </c:pt>
                <c:pt idx="4">
                  <c:v>Sports</c:v>
                </c:pt>
              </c:strCache>
            </c:strRef>
          </c:cat>
          <c:val>
            <c:numRef>
              <c:f>'Pivot-Table'!$D$22:$D$27</c:f>
              <c:numCache>
                <c:formatCode>"₹"\ #,##0.00</c:formatCode>
                <c:ptCount val="5"/>
                <c:pt idx="1">
                  <c:v>3894.7799999999997</c:v>
                </c:pt>
                <c:pt idx="2">
                  <c:v>4024.82</c:v>
                </c:pt>
                <c:pt idx="3">
                  <c:v>3775.462813888239</c:v>
                </c:pt>
                <c:pt idx="4">
                  <c:v>5087.1000000000004</c:v>
                </c:pt>
              </c:numCache>
            </c:numRef>
          </c:val>
          <c:extLst>
            <c:ext xmlns:c16="http://schemas.microsoft.com/office/drawing/2014/chart" uri="{C3380CC4-5D6E-409C-BE32-E72D297353CC}">
              <c16:uniqueId val="{00000005-C7D6-46CF-90FB-2E403D48FEC9}"/>
            </c:ext>
          </c:extLst>
        </c:ser>
        <c:ser>
          <c:idx val="2"/>
          <c:order val="2"/>
          <c:tx>
            <c:strRef>
              <c:f>'Pivot-Table'!$E$20:$E$21</c:f>
              <c:strCache>
                <c:ptCount val="1"/>
                <c:pt idx="0">
                  <c:v>Processing</c:v>
                </c:pt>
              </c:strCache>
            </c:strRef>
          </c:tx>
          <c:spPr>
            <a:solidFill>
              <a:srgbClr val="E93F9C"/>
            </a:solidFill>
            <a:ln>
              <a:noFill/>
            </a:ln>
            <a:effectLst/>
          </c:spPr>
          <c:invertIfNegative val="0"/>
          <c:dLbls>
            <c:numFmt formatCode="#,##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'Pivot-Table'!$B$22:$B$27</c:f>
              <c:strCache>
                <c:ptCount val="5"/>
                <c:pt idx="0">
                  <c:v>Books</c:v>
                </c:pt>
                <c:pt idx="1">
                  <c:v>Clothing</c:v>
                </c:pt>
                <c:pt idx="2">
                  <c:v>Electronics</c:v>
                </c:pt>
                <c:pt idx="3">
                  <c:v>Home</c:v>
                </c:pt>
                <c:pt idx="4">
                  <c:v>Sports</c:v>
                </c:pt>
              </c:strCache>
            </c:strRef>
          </c:cat>
          <c:val>
            <c:numRef>
              <c:f>'Pivot-Table'!$E$22:$E$27</c:f>
              <c:numCache>
                <c:formatCode>"₹"\ #,##0.00</c:formatCode>
                <c:ptCount val="5"/>
                <c:pt idx="0">
                  <c:v>4887.6299999999992</c:v>
                </c:pt>
                <c:pt idx="1">
                  <c:v>9432.75</c:v>
                </c:pt>
                <c:pt idx="2">
                  <c:v>23602.019560439559</c:v>
                </c:pt>
                <c:pt idx="3">
                  <c:v>6946.3158230067793</c:v>
                </c:pt>
                <c:pt idx="4">
                  <c:v>10182.788390226795</c:v>
                </c:pt>
              </c:numCache>
            </c:numRef>
          </c:val>
          <c:extLst>
            <c:ext xmlns:c16="http://schemas.microsoft.com/office/drawing/2014/chart" uri="{C3380CC4-5D6E-409C-BE32-E72D297353CC}">
              <c16:uniqueId val="{00000006-C7D6-46CF-90FB-2E403D48FEC9}"/>
            </c:ext>
          </c:extLst>
        </c:ser>
        <c:ser>
          <c:idx val="3"/>
          <c:order val="3"/>
          <c:tx>
            <c:strRef>
              <c:f>'Pivot-Table'!$F$20:$F$21</c:f>
              <c:strCache>
                <c:ptCount val="1"/>
                <c:pt idx="0">
                  <c:v>Returned</c:v>
                </c:pt>
              </c:strCache>
            </c:strRef>
          </c:tx>
          <c:spPr>
            <a:solidFill>
              <a:srgbClr val="9532C2"/>
            </a:solidFill>
            <a:ln>
              <a:noFill/>
            </a:ln>
            <a:effectLst/>
          </c:spPr>
          <c:invertIfNegative val="0"/>
          <c:dLbls>
            <c:numFmt formatCode="#,##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'Pivot-Table'!$B$22:$B$27</c:f>
              <c:strCache>
                <c:ptCount val="5"/>
                <c:pt idx="0">
                  <c:v>Books</c:v>
                </c:pt>
                <c:pt idx="1">
                  <c:v>Clothing</c:v>
                </c:pt>
                <c:pt idx="2">
                  <c:v>Electronics</c:v>
                </c:pt>
                <c:pt idx="3">
                  <c:v>Home</c:v>
                </c:pt>
                <c:pt idx="4">
                  <c:v>Sports</c:v>
                </c:pt>
              </c:strCache>
            </c:strRef>
          </c:cat>
          <c:val>
            <c:numRef>
              <c:f>'Pivot-Table'!$F$22:$F$27</c:f>
              <c:numCache>
                <c:formatCode>"₹"\ #,##0.00</c:formatCode>
                <c:ptCount val="5"/>
                <c:pt idx="0">
                  <c:v>22151.96</c:v>
                </c:pt>
                <c:pt idx="1">
                  <c:v>3774.6528372691132</c:v>
                </c:pt>
                <c:pt idx="2">
                  <c:v>5190.26</c:v>
                </c:pt>
                <c:pt idx="3">
                  <c:v>8228.33</c:v>
                </c:pt>
                <c:pt idx="4">
                  <c:v>4672.4004255319151</c:v>
                </c:pt>
              </c:numCache>
            </c:numRef>
          </c:val>
          <c:extLst>
            <c:ext xmlns:c16="http://schemas.microsoft.com/office/drawing/2014/chart" uri="{C3380CC4-5D6E-409C-BE32-E72D297353CC}">
              <c16:uniqueId val="{00000007-C7D6-46CF-90FB-2E403D48FEC9}"/>
            </c:ext>
          </c:extLst>
        </c:ser>
        <c:ser>
          <c:idx val="4"/>
          <c:order val="4"/>
          <c:tx>
            <c:strRef>
              <c:f>'Pivot-Table'!$G$20:$G$21</c:f>
              <c:strCache>
                <c:ptCount val="1"/>
                <c:pt idx="0">
                  <c:v>Shipped</c:v>
                </c:pt>
              </c:strCache>
            </c:strRef>
          </c:tx>
          <c:spPr>
            <a:solidFill>
              <a:srgbClr val="F7B3E7"/>
            </a:solidFill>
            <a:ln>
              <a:noFill/>
            </a:ln>
            <a:effectLst/>
          </c:spPr>
          <c:invertIfNegative val="0"/>
          <c:dLbls>
            <c:numFmt formatCode="#,##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'Pivot-Table'!$B$22:$B$27</c:f>
              <c:strCache>
                <c:ptCount val="5"/>
                <c:pt idx="0">
                  <c:v>Books</c:v>
                </c:pt>
                <c:pt idx="1">
                  <c:v>Clothing</c:v>
                </c:pt>
                <c:pt idx="2">
                  <c:v>Electronics</c:v>
                </c:pt>
                <c:pt idx="3">
                  <c:v>Home</c:v>
                </c:pt>
                <c:pt idx="4">
                  <c:v>Sports</c:v>
                </c:pt>
              </c:strCache>
            </c:strRef>
          </c:cat>
          <c:val>
            <c:numRef>
              <c:f>'Pivot-Table'!$G$22:$G$27</c:f>
              <c:numCache>
                <c:formatCode>"₹"\ #,##0.00</c:formatCode>
                <c:ptCount val="5"/>
                <c:pt idx="0">
                  <c:v>8268.84</c:v>
                </c:pt>
                <c:pt idx="1">
                  <c:v>9811.6095604395596</c:v>
                </c:pt>
                <c:pt idx="2">
                  <c:v>4598.3999999999996</c:v>
                </c:pt>
                <c:pt idx="3">
                  <c:v>10941.589999999998</c:v>
                </c:pt>
                <c:pt idx="4">
                  <c:v>2446.6338297872339</c:v>
                </c:pt>
              </c:numCache>
            </c:numRef>
          </c:val>
          <c:extLst>
            <c:ext xmlns:c16="http://schemas.microsoft.com/office/drawing/2014/chart" uri="{C3380CC4-5D6E-409C-BE32-E72D297353CC}">
              <c16:uniqueId val="{00000008-C7D6-46CF-90FB-2E403D48FEC9}"/>
            </c:ext>
          </c:extLst>
        </c:ser>
        <c:dLbls>
          <c:dLblPos val="ctr"/>
          <c:showLegendKey val="0"/>
          <c:showVal val="1"/>
          <c:showCatName val="0"/>
          <c:showSerName val="0"/>
          <c:showPercent val="0"/>
          <c:showBubbleSize val="0"/>
        </c:dLbls>
        <c:gapWidth val="150"/>
        <c:overlap val="100"/>
        <c:axId val="1501067808"/>
        <c:axId val="1501073568"/>
      </c:barChart>
      <c:catAx>
        <c:axId val="15010678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073568"/>
        <c:crosses val="autoZero"/>
        <c:auto val="1"/>
        <c:lblAlgn val="ctr"/>
        <c:lblOffset val="100"/>
        <c:noMultiLvlLbl val="0"/>
      </c:catAx>
      <c:valAx>
        <c:axId val="1501073568"/>
        <c:scaling>
          <c:orientation val="minMax"/>
        </c:scaling>
        <c:delete val="0"/>
        <c:axPos val="l"/>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0678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7B3E7"/>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[Project-Dashboard.xlsx]Pivot-Table!PivotTable1</c:name>
    <c:fmtId val="10"/>
  </c:pivotSource>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IN" sz="1600" b="1" i="0" u="none" strike="noStrike" kern="1200" spc="-1" baseline="0">
                <a:solidFill>
                  <a:srgbClr val="000000"/>
                </a:solidFill>
                <a:latin typeface="Calibri"/>
              </a:rPr>
              <a:t>Order Count by Category</a:t>
            </a:r>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D93BA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'Pivot-Table'!$B$3</c:f>
              <c:strCache>
                <c:ptCount val="1"/>
                <c:pt idx="0">
                  <c:v>Total</c:v>
                </c:pt>
              </c:strCache>
            </c:strRef>
          </c:tx>
          <c:spPr>
            <a:solidFill>
              <a:srgbClr val="D93BAC"/>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'Pivot-Table'!$A$4:$A$9</c:f>
              <c:strCache>
                <c:ptCount val="5"/>
                <c:pt idx="0">
                  <c:v>Books</c:v>
                </c:pt>
                <c:pt idx="1">
                  <c:v>Clothing</c:v>
                </c:pt>
                <c:pt idx="2">
                  <c:v>Electronics</c:v>
                </c:pt>
                <c:pt idx="3">
                  <c:v>Home</c:v>
                </c:pt>
                <c:pt idx="4">
                  <c:v>Sports</c:v>
                </c:pt>
              </c:strCache>
            </c:strRef>
          </c:cat>
          <c:val>
            <c:numRef>
              <c:f>'Pivot-Table'!$B$4:$B$9</c:f>
              <c:numCache>
                <c:formatCode>General</c:formatCode>
                <c:ptCount val="5"/>
                <c:pt idx="0">
                  <c:v>23</c:v>
                </c:pt>
                <c:pt idx="1">
                  <c:v>16</c:v>
                </c:pt>
                <c:pt idx="2">
                  <c:v>23</c:v>
                </c:pt>
                <c:pt idx="3">
                  <c:v>20</c:v>
                </c:pt>
                <c:pt idx="4">
                  <c:v>18</c:v>
                </c:pt>
              </c:numCache>
            </c:numRef>
          </c:val>
          <c:extLst>
            <c:ext xmlns:c16="http://schemas.microsoft.com/office/drawing/2014/chart" uri="{C3380CC4-5D6E-409C-BE32-E72D297353CC}">
              <c16:uniqueId val="{00000000-C18C-4F87-BB52-38A2F813DB40}"/>
            </c:ext>
          </c:extLst>
        </c:ser>
        <c:dLbls>
          <c:dLblPos val="outEnd"/>
          <c:showLegendKey val="0"/>
          <c:showVal val="1"/>
          <c:showCatName val="0"/>
          <c:showSerName val="0"/>
          <c:showPercent val="0"/>
          <c:showBubbleSize val="0"/>
        </c:dLbls>
        <c:gapWidth val="219"/>
        <c:overlap val="-27"/>
        <c:axId val="2066569504"/>
        <c:axId val="2066570944"/>
      </c:barChart>
      <c:catAx>
        <c:axId val="2066569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6570944"/>
        <c:crosses val="autoZero"/>
        <c:auto val="1"/>
        <c:lblAlgn val="ctr"/>
        <c:lblOffset val="100"/>
        <c:noMultiLvlLbl val="0"/>
      </c:catAx>
      <c:valAx>
        <c:axId val="206657094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65695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7B3E7"/>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4.xml"/><Relationship Id="rId3" Type="http://schemas.openxmlformats.org/officeDocument/2006/relationships/image" Target="../media/image1.png"/><Relationship Id="rId7" Type="http://schemas.openxmlformats.org/officeDocument/2006/relationships/chart" Target="../charts/chart13.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2.xml"/><Relationship Id="rId5" Type="http://schemas.openxmlformats.org/officeDocument/2006/relationships/chart" Target="../charts/chart11.xml"/><Relationship Id="rId10" Type="http://schemas.openxmlformats.org/officeDocument/2006/relationships/chart" Target="../charts/chart16.xml"/><Relationship Id="rId4" Type="http://schemas.microsoft.com/office/2007/relationships/hdphoto" Target="../media/hdphoto1.wdp"/><Relationship Id="rId9" Type="http://schemas.openxmlformats.org/officeDocument/2006/relationships/chart" Target="../charts/chart15.xml"/></Relationships>
</file>

<file path=xl/drawings/drawing1.xml><?xml version="1.0" encoding="utf-8"?>
<xdr:wsDr xmlns:xdr="http://schemas.openxmlformats.org/drawingml/2006/spreadsheetDrawing" xmlns:a="http://schemas.openxmlformats.org/drawingml/2006/main">
  <xdr:twoCellAnchor>
    <xdr:from>
      <xdr:col>7</xdr:col>
      <xdr:colOff>822960</xdr:colOff>
      <xdr:row>29</xdr:row>
      <xdr:rowOff>22860</xdr:rowOff>
    </xdr:from>
    <xdr:to>
      <xdr:col>13</xdr:col>
      <xdr:colOff>601980</xdr:colOff>
      <xdr:row>49</xdr:row>
      <xdr:rowOff>160020</xdr:rowOff>
    </xdr:to>
    <xdr:graphicFrame macro="">
      <xdr:nvGraphicFramePr>
        <xdr:cNvPr id="3" name="Chart 2">
          <a:extLst>
            <a:ext uri="{FF2B5EF4-FFF2-40B4-BE49-F238E27FC236}">
              <a16:creationId xmlns:a16="http://schemas.microsoft.com/office/drawing/2014/main" id="{6996782C-EF0B-E483-509F-598CFC6368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7620</xdr:colOff>
      <xdr:row>52</xdr:row>
      <xdr:rowOff>144780</xdr:rowOff>
    </xdr:from>
    <xdr:to>
      <xdr:col>7</xdr:col>
      <xdr:colOff>38100</xdr:colOff>
      <xdr:row>68</xdr:row>
      <xdr:rowOff>0</xdr:rowOff>
    </xdr:to>
    <xdr:graphicFrame macro="">
      <xdr:nvGraphicFramePr>
        <xdr:cNvPr id="4" name="Chart 3">
          <a:extLst>
            <a:ext uri="{FF2B5EF4-FFF2-40B4-BE49-F238E27FC236}">
              <a16:creationId xmlns:a16="http://schemas.microsoft.com/office/drawing/2014/main" id="{FD3F27E3-2826-8CFA-E84B-3D5016F472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22860</xdr:colOff>
      <xdr:row>52</xdr:row>
      <xdr:rowOff>160020</xdr:rowOff>
    </xdr:from>
    <xdr:to>
      <xdr:col>15</xdr:col>
      <xdr:colOff>792480</xdr:colOff>
      <xdr:row>68</xdr:row>
      <xdr:rowOff>15240</xdr:rowOff>
    </xdr:to>
    <xdr:graphicFrame macro="">
      <xdr:nvGraphicFramePr>
        <xdr:cNvPr id="5" name="Chart 4">
          <a:extLst>
            <a:ext uri="{FF2B5EF4-FFF2-40B4-BE49-F238E27FC236}">
              <a16:creationId xmlns:a16="http://schemas.microsoft.com/office/drawing/2014/main" id="{8C4E5F27-7BFF-A0A5-0C1E-C43789122F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723900</xdr:colOff>
      <xdr:row>70</xdr:row>
      <xdr:rowOff>7620</xdr:rowOff>
    </xdr:from>
    <xdr:to>
      <xdr:col>7</xdr:col>
      <xdr:colOff>7620</xdr:colOff>
      <xdr:row>85</xdr:row>
      <xdr:rowOff>152400</xdr:rowOff>
    </xdr:to>
    <xdr:graphicFrame macro="">
      <xdr:nvGraphicFramePr>
        <xdr:cNvPr id="6" name="Chart 5">
          <a:extLst>
            <a:ext uri="{FF2B5EF4-FFF2-40B4-BE49-F238E27FC236}">
              <a16:creationId xmlns:a16="http://schemas.microsoft.com/office/drawing/2014/main" id="{F1DB682D-046C-3854-ABF4-EE0B2E2142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22860</xdr:colOff>
      <xdr:row>70</xdr:row>
      <xdr:rowOff>22860</xdr:rowOff>
    </xdr:from>
    <xdr:to>
      <xdr:col>13</xdr:col>
      <xdr:colOff>579120</xdr:colOff>
      <xdr:row>85</xdr:row>
      <xdr:rowOff>152400</xdr:rowOff>
    </xdr:to>
    <xdr:graphicFrame macro="">
      <xdr:nvGraphicFramePr>
        <xdr:cNvPr id="7" name="Chart 6">
          <a:extLst>
            <a:ext uri="{FF2B5EF4-FFF2-40B4-BE49-F238E27FC236}">
              <a16:creationId xmlns:a16="http://schemas.microsoft.com/office/drawing/2014/main" id="{9E6665D8-13BD-45B6-5E57-9E28D1B22C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22860</xdr:colOff>
      <xdr:row>89</xdr:row>
      <xdr:rowOff>30480</xdr:rowOff>
    </xdr:from>
    <xdr:to>
      <xdr:col>7</xdr:col>
      <xdr:colOff>7620</xdr:colOff>
      <xdr:row>104</xdr:row>
      <xdr:rowOff>152400</xdr:rowOff>
    </xdr:to>
    <xdr:graphicFrame macro="">
      <xdr:nvGraphicFramePr>
        <xdr:cNvPr id="8" name="Chart 7">
          <a:extLst>
            <a:ext uri="{FF2B5EF4-FFF2-40B4-BE49-F238E27FC236}">
              <a16:creationId xmlns:a16="http://schemas.microsoft.com/office/drawing/2014/main" id="{3599C318-5B26-A5FC-4015-FE52DD509C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22860</xdr:colOff>
      <xdr:row>88</xdr:row>
      <xdr:rowOff>121920</xdr:rowOff>
    </xdr:from>
    <xdr:to>
      <xdr:col>13</xdr:col>
      <xdr:colOff>563880</xdr:colOff>
      <xdr:row>104</xdr:row>
      <xdr:rowOff>152400</xdr:rowOff>
    </xdr:to>
    <xdr:graphicFrame macro="">
      <xdr:nvGraphicFramePr>
        <xdr:cNvPr id="9" name="Chart 8">
          <a:extLst>
            <a:ext uri="{FF2B5EF4-FFF2-40B4-BE49-F238E27FC236}">
              <a16:creationId xmlns:a16="http://schemas.microsoft.com/office/drawing/2014/main" id="{E935C075-159C-FC35-3605-81D11C2481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45720</xdr:colOff>
      <xdr:row>29</xdr:row>
      <xdr:rowOff>7620</xdr:rowOff>
    </xdr:from>
    <xdr:to>
      <xdr:col>7</xdr:col>
      <xdr:colOff>0</xdr:colOff>
      <xdr:row>50</xdr:row>
      <xdr:rowOff>160020</xdr:rowOff>
    </xdr:to>
    <xdr:graphicFrame macro="">
      <xdr:nvGraphicFramePr>
        <xdr:cNvPr id="10" name="Chart 9">
          <a:extLst>
            <a:ext uri="{FF2B5EF4-FFF2-40B4-BE49-F238E27FC236}">
              <a16:creationId xmlns:a16="http://schemas.microsoft.com/office/drawing/2014/main" id="{A8494812-4C9C-D0FE-F2E6-F72DCCBC1C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17</xdr:col>
      <xdr:colOff>43815</xdr:colOff>
      <xdr:row>10</xdr:row>
      <xdr:rowOff>131446</xdr:rowOff>
    </xdr:from>
    <xdr:to>
      <xdr:col>19</xdr:col>
      <xdr:colOff>36823</xdr:colOff>
      <xdr:row>20</xdr:row>
      <xdr:rowOff>9526</xdr:rowOff>
    </xdr:to>
    <mc:AlternateContent xmlns:mc="http://schemas.openxmlformats.org/markup-compatibility/2006" xmlns:a14="http://schemas.microsoft.com/office/drawing/2010/main">
      <mc:Choice Requires="a14">
        <xdr:graphicFrame macro="">
          <xdr:nvGraphicFramePr>
            <xdr:cNvPr id="2" name="Category">
              <a:extLst>
                <a:ext uri="{FF2B5EF4-FFF2-40B4-BE49-F238E27FC236}">
                  <a16:creationId xmlns:a16="http://schemas.microsoft.com/office/drawing/2014/main" id="{DA23CD29-C58C-68B9-C7B3-9C524306194E}"/>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4055090" y="2036446"/>
              <a:ext cx="1789423" cy="17830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215265</xdr:colOff>
      <xdr:row>25</xdr:row>
      <xdr:rowOff>100965</xdr:rowOff>
    </xdr:from>
    <xdr:to>
      <xdr:col>16</xdr:col>
      <xdr:colOff>406156</xdr:colOff>
      <xdr:row>33</xdr:row>
      <xdr:rowOff>0</xdr:rowOff>
    </xdr:to>
    <mc:AlternateContent xmlns:mc="http://schemas.openxmlformats.org/markup-compatibility/2006" xmlns:a14="http://schemas.microsoft.com/office/drawing/2010/main">
      <mc:Choice Requires="a14">
        <xdr:graphicFrame macro="">
          <xdr:nvGraphicFramePr>
            <xdr:cNvPr id="11" name="Payment_Method">
              <a:extLst>
                <a:ext uri="{FF2B5EF4-FFF2-40B4-BE49-F238E27FC236}">
                  <a16:creationId xmlns:a16="http://schemas.microsoft.com/office/drawing/2014/main" id="{FA731407-86D1-FE95-BCF2-76E26FE78CD9}"/>
                </a:ext>
              </a:extLst>
            </xdr:cNvPr>
            <xdr:cNvGraphicFramePr/>
          </xdr:nvGraphicFramePr>
          <xdr:xfrm>
            <a:off x="0" y="0"/>
            <a:ext cx="0" cy="0"/>
          </xdr:xfrm>
          <a:graphic>
            <a:graphicData uri="http://schemas.microsoft.com/office/drawing/2010/slicer">
              <sle:slicer xmlns:sle="http://schemas.microsoft.com/office/drawing/2010/slicer" name="Payment_Method"/>
            </a:graphicData>
          </a:graphic>
        </xdr:graphicFrame>
      </mc:Choice>
      <mc:Fallback xmlns="">
        <xdr:sp macro="" textlink="">
          <xdr:nvSpPr>
            <xdr:cNvPr id="0" name=""/>
            <xdr:cNvSpPr>
              <a:spLocks noTextEdit="1"/>
            </xdr:cNvSpPr>
          </xdr:nvSpPr>
          <xdr:spPr>
            <a:xfrm>
              <a:off x="11921490" y="4863465"/>
              <a:ext cx="1802521" cy="142303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243840</xdr:colOff>
      <xdr:row>15</xdr:row>
      <xdr:rowOff>129540</xdr:rowOff>
    </xdr:from>
    <xdr:to>
      <xdr:col>16</xdr:col>
      <xdr:colOff>434731</xdr:colOff>
      <xdr:row>24</xdr:row>
      <xdr:rowOff>161925</xdr:rowOff>
    </xdr:to>
    <mc:AlternateContent xmlns:mc="http://schemas.openxmlformats.org/markup-compatibility/2006" xmlns:a14="http://schemas.microsoft.com/office/drawing/2010/main">
      <mc:Choice Requires="a14">
        <xdr:graphicFrame macro="">
          <xdr:nvGraphicFramePr>
            <xdr:cNvPr id="12" name="Status">
              <a:extLst>
                <a:ext uri="{FF2B5EF4-FFF2-40B4-BE49-F238E27FC236}">
                  <a16:creationId xmlns:a16="http://schemas.microsoft.com/office/drawing/2014/main" id="{93D25184-AF02-B967-677E-8D9E1EA2B82B}"/>
                </a:ext>
              </a:extLst>
            </xdr:cNvPr>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2237720" y="28727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68580</xdr:colOff>
      <xdr:row>20</xdr:row>
      <xdr:rowOff>133350</xdr:rowOff>
    </xdr:from>
    <xdr:to>
      <xdr:col>19</xdr:col>
      <xdr:colOff>78152</xdr:colOff>
      <xdr:row>28</xdr:row>
      <xdr:rowOff>34290</xdr:rowOff>
    </xdr:to>
    <mc:AlternateContent xmlns:mc="http://schemas.openxmlformats.org/markup-compatibility/2006" xmlns:tsle="http://schemas.microsoft.com/office/drawing/2012/timeslicer">
      <mc:Choice Requires="tsle">
        <xdr:graphicFrame macro="">
          <xdr:nvGraphicFramePr>
            <xdr:cNvPr id="16" name="Order_Date">
              <a:extLst>
                <a:ext uri="{FF2B5EF4-FFF2-40B4-BE49-F238E27FC236}">
                  <a16:creationId xmlns:a16="http://schemas.microsoft.com/office/drawing/2014/main" id="{B1D5D1C5-91BC-230C-1FB9-0F9881F7C473}"/>
                </a:ext>
              </a:extLst>
            </xdr:cNvPr>
            <xdr:cNvGraphicFramePr/>
          </xdr:nvGraphicFramePr>
          <xdr:xfrm>
            <a:off x="0" y="0"/>
            <a:ext cx="0" cy="0"/>
          </xdr:xfrm>
          <a:graphic>
            <a:graphicData uri="http://schemas.microsoft.com/office/drawing/2012/timeslicer">
              <tsle:timeslicer name="Order_Date"/>
            </a:graphicData>
          </a:graphic>
        </xdr:graphicFrame>
      </mc:Choice>
      <mc:Fallback xmlns="">
        <xdr:sp macro="" textlink="">
          <xdr:nvSpPr>
            <xdr:cNvPr id="0" name=""/>
            <xdr:cNvSpPr>
              <a:spLocks noTextEdit="1"/>
            </xdr:cNvSpPr>
          </xdr:nvSpPr>
          <xdr:spPr>
            <a:xfrm>
              <a:off x="14079855" y="3943350"/>
              <a:ext cx="1805987" cy="142494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29633</xdr:colOff>
      <xdr:row>9</xdr:row>
      <xdr:rowOff>8042</xdr:rowOff>
    </xdr:from>
    <xdr:to>
      <xdr:col>5</xdr:col>
      <xdr:colOff>296333</xdr:colOff>
      <xdr:row>22</xdr:row>
      <xdr:rowOff>95249</xdr:rowOff>
    </xdr:to>
    <xdr:graphicFrame macro="">
      <xdr:nvGraphicFramePr>
        <xdr:cNvPr id="2" name="Chart 1">
          <a:extLst>
            <a:ext uri="{FF2B5EF4-FFF2-40B4-BE49-F238E27FC236}">
              <a16:creationId xmlns:a16="http://schemas.microsoft.com/office/drawing/2014/main" id="{57F1A3E4-63F1-4CCB-AA95-1783E92D6A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342053</xdr:colOff>
      <xdr:row>8</xdr:row>
      <xdr:rowOff>189229</xdr:rowOff>
    </xdr:from>
    <xdr:to>
      <xdr:col>10</xdr:col>
      <xdr:colOff>448733</xdr:colOff>
      <xdr:row>22</xdr:row>
      <xdr:rowOff>95249</xdr:rowOff>
    </xdr:to>
    <xdr:graphicFrame macro="">
      <xdr:nvGraphicFramePr>
        <xdr:cNvPr id="3" name="Chart 2">
          <a:extLst>
            <a:ext uri="{FF2B5EF4-FFF2-40B4-BE49-F238E27FC236}">
              <a16:creationId xmlns:a16="http://schemas.microsoft.com/office/drawing/2014/main" id="{48A2C37D-0CCF-48D9-A073-A07D55C824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277092</xdr:colOff>
      <xdr:row>0</xdr:row>
      <xdr:rowOff>86937</xdr:rowOff>
    </xdr:from>
    <xdr:to>
      <xdr:col>6</xdr:col>
      <xdr:colOff>225137</xdr:colOff>
      <xdr:row>2</xdr:row>
      <xdr:rowOff>132657</xdr:rowOff>
    </xdr:to>
    <xdr:sp macro="" textlink="">
      <xdr:nvSpPr>
        <xdr:cNvPr id="4" name="Rectangle: Rounded Corners 3">
          <a:extLst>
            <a:ext uri="{FF2B5EF4-FFF2-40B4-BE49-F238E27FC236}">
              <a16:creationId xmlns:a16="http://schemas.microsoft.com/office/drawing/2014/main" id="{05B2A380-EA16-4470-89B5-1F476A24EADC}"/>
            </a:ext>
          </a:extLst>
        </xdr:cNvPr>
        <xdr:cNvSpPr/>
      </xdr:nvSpPr>
      <xdr:spPr>
        <a:xfrm>
          <a:off x="865910" y="86937"/>
          <a:ext cx="2892136" cy="426720"/>
        </a:xfrm>
        <a:prstGeom prst="roundRect">
          <a:avLst/>
        </a:prstGeom>
        <a:noFill/>
        <a:ln>
          <a:solidFill>
            <a:srgbClr val="9532C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800" b="1">
              <a:solidFill>
                <a:schemeClr val="bg1"/>
              </a:solidFill>
            </a:rPr>
            <a:t>E</a:t>
          </a:r>
          <a:r>
            <a:rPr lang="en-IN" sz="1800" b="1" baseline="0">
              <a:solidFill>
                <a:schemeClr val="bg1"/>
              </a:solidFill>
            </a:rPr>
            <a:t>-COMMERCE DASHBOARD</a:t>
          </a:r>
          <a:endParaRPr lang="en-IN" sz="1800" b="1">
            <a:solidFill>
              <a:schemeClr val="bg1"/>
            </a:solidFill>
          </a:endParaRPr>
        </a:p>
      </xdr:txBody>
    </xdr:sp>
    <xdr:clientData/>
  </xdr:twoCellAnchor>
  <xdr:twoCellAnchor editAs="oneCell">
    <xdr:from>
      <xdr:col>0</xdr:col>
      <xdr:colOff>213708</xdr:colOff>
      <xdr:row>0</xdr:row>
      <xdr:rowOff>22861</xdr:rowOff>
    </xdr:from>
    <xdr:to>
      <xdr:col>1</xdr:col>
      <xdr:colOff>167988</xdr:colOff>
      <xdr:row>2</xdr:row>
      <xdr:rowOff>148728</xdr:rowOff>
    </xdr:to>
    <xdr:pic>
      <xdr:nvPicPr>
        <xdr:cNvPr id="8" name="Picture 7">
          <a:extLst>
            <a:ext uri="{FF2B5EF4-FFF2-40B4-BE49-F238E27FC236}">
              <a16:creationId xmlns:a16="http://schemas.microsoft.com/office/drawing/2014/main" id="{B7BB6C1E-D843-4EB3-9F51-73D11AEC07F4}"/>
            </a:ext>
          </a:extLst>
        </xdr:cNvPr>
        <xdr:cNvPicPr>
          <a:picLocks noChangeAspect="1"/>
        </xdr:cNvPicPr>
      </xdr:nvPicPr>
      <xdr:blipFill>
        <a:blip xmlns:r="http://schemas.openxmlformats.org/officeDocument/2006/relationships" r:embed="rId3" cstate="print">
          <a:extLst>
            <a:ext uri="{BEBA8EAE-BF5A-486C-A8C5-ECC9F3942E4B}">
              <a14:imgProps xmlns:a14="http://schemas.microsoft.com/office/drawing/2010/main">
                <a14:imgLayer r:embed="rId4">
                  <a14:imgEffect>
                    <a14:saturation sat="33000"/>
                  </a14:imgEffect>
                  <a14:imgEffect>
                    <a14:brightnessContrast contrast="40000"/>
                  </a14:imgEffect>
                </a14:imgLayer>
              </a14:imgProps>
            </a:ext>
            <a:ext uri="{28A0092B-C50C-407E-A947-70E740481C1C}">
              <a14:useLocalDpi xmlns:a14="http://schemas.microsoft.com/office/drawing/2010/main" val="0"/>
            </a:ext>
          </a:extLst>
        </a:blip>
        <a:stretch>
          <a:fillRect/>
        </a:stretch>
      </xdr:blipFill>
      <xdr:spPr>
        <a:xfrm>
          <a:off x="213708" y="22861"/>
          <a:ext cx="543098" cy="506867"/>
        </a:xfrm>
        <a:prstGeom prst="rect">
          <a:avLst/>
        </a:prstGeom>
        <a:effectLst>
          <a:outerShdw blurRad="50800" dist="38100" dir="2700000" algn="tl" rotWithShape="0">
            <a:prstClr val="black">
              <a:alpha val="40000"/>
            </a:prstClr>
          </a:outerShdw>
        </a:effectLst>
      </xdr:spPr>
    </xdr:pic>
    <xdr:clientData/>
  </xdr:twoCellAnchor>
  <xdr:twoCellAnchor>
    <xdr:from>
      <xdr:col>10</xdr:col>
      <xdr:colOff>509693</xdr:colOff>
      <xdr:row>9</xdr:row>
      <xdr:rowOff>6349</xdr:rowOff>
    </xdr:from>
    <xdr:to>
      <xdr:col>16</xdr:col>
      <xdr:colOff>555413</xdr:colOff>
      <xdr:row>22</xdr:row>
      <xdr:rowOff>74082</xdr:rowOff>
    </xdr:to>
    <xdr:graphicFrame macro="">
      <xdr:nvGraphicFramePr>
        <xdr:cNvPr id="6" name="Chart 5">
          <a:extLst>
            <a:ext uri="{FF2B5EF4-FFF2-40B4-BE49-F238E27FC236}">
              <a16:creationId xmlns:a16="http://schemas.microsoft.com/office/drawing/2014/main" id="{627695DC-FDA4-418F-A63E-29E592F1DC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30480</xdr:colOff>
      <xdr:row>23</xdr:row>
      <xdr:rowOff>6350</xdr:rowOff>
    </xdr:from>
    <xdr:to>
      <xdr:col>5</xdr:col>
      <xdr:colOff>274320</xdr:colOff>
      <xdr:row>36</xdr:row>
      <xdr:rowOff>6350</xdr:rowOff>
    </xdr:to>
    <xdr:graphicFrame macro="">
      <xdr:nvGraphicFramePr>
        <xdr:cNvPr id="7" name="Chart 6">
          <a:extLst>
            <a:ext uri="{FF2B5EF4-FFF2-40B4-BE49-F238E27FC236}">
              <a16:creationId xmlns:a16="http://schemas.microsoft.com/office/drawing/2014/main" id="{C939FEB8-BBC4-44A3-9CA1-1C0B567827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335280</xdr:colOff>
      <xdr:row>23</xdr:row>
      <xdr:rowOff>8889</xdr:rowOff>
    </xdr:from>
    <xdr:to>
      <xdr:col>10</xdr:col>
      <xdr:colOff>472440</xdr:colOff>
      <xdr:row>35</xdr:row>
      <xdr:rowOff>188381</xdr:rowOff>
    </xdr:to>
    <xdr:graphicFrame macro="">
      <xdr:nvGraphicFramePr>
        <xdr:cNvPr id="9" name="Chart 8">
          <a:extLst>
            <a:ext uri="{FF2B5EF4-FFF2-40B4-BE49-F238E27FC236}">
              <a16:creationId xmlns:a16="http://schemas.microsoft.com/office/drawing/2014/main" id="{BD8CF8EA-D009-4CC5-9A85-69A8F6D5EB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541020</xdr:colOff>
      <xdr:row>23</xdr:row>
      <xdr:rowOff>8889</xdr:rowOff>
    </xdr:from>
    <xdr:to>
      <xdr:col>16</xdr:col>
      <xdr:colOff>533400</xdr:colOff>
      <xdr:row>35</xdr:row>
      <xdr:rowOff>179915</xdr:rowOff>
    </xdr:to>
    <xdr:graphicFrame macro="">
      <xdr:nvGraphicFramePr>
        <xdr:cNvPr id="10" name="Chart 9">
          <a:extLst>
            <a:ext uri="{FF2B5EF4-FFF2-40B4-BE49-F238E27FC236}">
              <a16:creationId xmlns:a16="http://schemas.microsoft.com/office/drawing/2014/main" id="{722F69C5-595B-4C5D-B608-67BE690EE2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17</xdr:col>
      <xdr:colOff>885</xdr:colOff>
      <xdr:row>9</xdr:row>
      <xdr:rowOff>6349</xdr:rowOff>
    </xdr:from>
    <xdr:to>
      <xdr:col>23</xdr:col>
      <xdr:colOff>885</xdr:colOff>
      <xdr:row>22</xdr:row>
      <xdr:rowOff>57149</xdr:rowOff>
    </xdr:to>
    <xdr:graphicFrame macro="">
      <xdr:nvGraphicFramePr>
        <xdr:cNvPr id="11" name="Chart 10">
          <a:extLst>
            <a:ext uri="{FF2B5EF4-FFF2-40B4-BE49-F238E27FC236}">
              <a16:creationId xmlns:a16="http://schemas.microsoft.com/office/drawing/2014/main" id="{131A348E-7F46-4390-A872-B1F4B539F3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7620</xdr:colOff>
      <xdr:row>23</xdr:row>
      <xdr:rowOff>1270</xdr:rowOff>
    </xdr:from>
    <xdr:to>
      <xdr:col>23</xdr:col>
      <xdr:colOff>15240</xdr:colOff>
      <xdr:row>35</xdr:row>
      <xdr:rowOff>154516</xdr:rowOff>
    </xdr:to>
    <xdr:graphicFrame macro="">
      <xdr:nvGraphicFramePr>
        <xdr:cNvPr id="12" name="Chart 11">
          <a:extLst>
            <a:ext uri="{FF2B5EF4-FFF2-40B4-BE49-F238E27FC236}">
              <a16:creationId xmlns:a16="http://schemas.microsoft.com/office/drawing/2014/main" id="{B23CEE26-3316-4CFE-A89D-22DA1D44DF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23</xdr:col>
      <xdr:colOff>104256</xdr:colOff>
      <xdr:row>4</xdr:row>
      <xdr:rowOff>113001</xdr:rowOff>
    </xdr:from>
    <xdr:to>
      <xdr:col>25</xdr:col>
      <xdr:colOff>585163</xdr:colOff>
      <xdr:row>11</xdr:row>
      <xdr:rowOff>75767</xdr:rowOff>
    </xdr:to>
    <mc:AlternateContent xmlns:mc="http://schemas.openxmlformats.org/markup-compatibility/2006" xmlns:tsle="http://schemas.microsoft.com/office/drawing/2012/timeslicer">
      <mc:Choice Requires="tsle">
        <xdr:graphicFrame macro="">
          <xdr:nvGraphicFramePr>
            <xdr:cNvPr id="13" name="Order_Date 1">
              <a:extLst>
                <a:ext uri="{FF2B5EF4-FFF2-40B4-BE49-F238E27FC236}">
                  <a16:creationId xmlns:a16="http://schemas.microsoft.com/office/drawing/2014/main" id="{E9EEEA01-1539-4E62-827F-24EBC0CAA190}"/>
                </a:ext>
              </a:extLst>
            </xdr:cNvPr>
            <xdr:cNvGraphicFramePr/>
          </xdr:nvGraphicFramePr>
          <xdr:xfrm>
            <a:off x="0" y="0"/>
            <a:ext cx="0" cy="0"/>
          </xdr:xfrm>
          <a:graphic>
            <a:graphicData uri="http://schemas.microsoft.com/office/drawing/2012/timeslicer">
              <tsle:timeslicer name="Order_Date 1"/>
            </a:graphicData>
          </a:graphic>
        </xdr:graphicFrame>
      </mc:Choice>
      <mc:Fallback xmlns="">
        <xdr:sp macro="" textlink="">
          <xdr:nvSpPr>
            <xdr:cNvPr id="0" name=""/>
            <xdr:cNvSpPr>
              <a:spLocks noTextEdit="1"/>
            </xdr:cNvSpPr>
          </xdr:nvSpPr>
          <xdr:spPr>
            <a:xfrm>
              <a:off x="13796444" y="892319"/>
              <a:ext cx="1671532" cy="1326573"/>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23</xdr:col>
      <xdr:colOff>112722</xdr:colOff>
      <xdr:row>11</xdr:row>
      <xdr:rowOff>65038</xdr:rowOff>
    </xdr:from>
    <xdr:to>
      <xdr:col>25</xdr:col>
      <xdr:colOff>585162</xdr:colOff>
      <xdr:row>18</xdr:row>
      <xdr:rowOff>137006</xdr:rowOff>
    </xdr:to>
    <mc:AlternateContent xmlns:mc="http://schemas.openxmlformats.org/markup-compatibility/2006" xmlns:a14="http://schemas.microsoft.com/office/drawing/2010/main">
      <mc:Choice Requires="a14">
        <xdr:graphicFrame macro="">
          <xdr:nvGraphicFramePr>
            <xdr:cNvPr id="14" name="Category 1">
              <a:extLst>
                <a:ext uri="{FF2B5EF4-FFF2-40B4-BE49-F238E27FC236}">
                  <a16:creationId xmlns:a16="http://schemas.microsoft.com/office/drawing/2014/main" id="{29D6FE79-C89B-41DF-9539-9589312137E8}"/>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3744055" y="2160538"/>
              <a:ext cx="1657774" cy="140546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113569</xdr:colOff>
      <xdr:row>19</xdr:row>
      <xdr:rowOff>693</xdr:rowOff>
    </xdr:from>
    <xdr:to>
      <xdr:col>25</xdr:col>
      <xdr:colOff>568229</xdr:colOff>
      <xdr:row>27</xdr:row>
      <xdr:rowOff>180186</xdr:rowOff>
    </xdr:to>
    <mc:AlternateContent xmlns:mc="http://schemas.openxmlformats.org/markup-compatibility/2006" xmlns:a14="http://schemas.microsoft.com/office/drawing/2010/main">
      <mc:Choice Requires="a14">
        <xdr:graphicFrame macro="">
          <xdr:nvGraphicFramePr>
            <xdr:cNvPr id="15" name="Status 1">
              <a:extLst>
                <a:ext uri="{FF2B5EF4-FFF2-40B4-BE49-F238E27FC236}">
                  <a16:creationId xmlns:a16="http://schemas.microsoft.com/office/drawing/2014/main" id="{C1004624-CAE2-449B-B2C1-FFE7D0CB6680}"/>
                </a:ext>
              </a:extLst>
            </xdr:cNvPr>
            <xdr:cNvGraphicFramePr/>
          </xdr:nvGraphicFramePr>
          <xdr:xfrm>
            <a:off x="0" y="0"/>
            <a:ext cx="0" cy="0"/>
          </xdr:xfrm>
          <a:graphic>
            <a:graphicData uri="http://schemas.microsoft.com/office/drawing/2010/slicer">
              <sle:slicer xmlns:sle="http://schemas.microsoft.com/office/drawing/2010/slicer" name="Status 1"/>
            </a:graphicData>
          </a:graphic>
        </xdr:graphicFrame>
      </mc:Choice>
      <mc:Fallback xmlns="">
        <xdr:sp macro="" textlink="">
          <xdr:nvSpPr>
            <xdr:cNvPr id="0" name=""/>
            <xdr:cNvSpPr>
              <a:spLocks noTextEdit="1"/>
            </xdr:cNvSpPr>
          </xdr:nvSpPr>
          <xdr:spPr>
            <a:xfrm>
              <a:off x="13744902" y="3620193"/>
              <a:ext cx="1639994" cy="171111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119496</xdr:colOff>
      <xdr:row>28</xdr:row>
      <xdr:rowOff>45567</xdr:rowOff>
    </xdr:from>
    <xdr:to>
      <xdr:col>25</xdr:col>
      <xdr:colOff>542830</xdr:colOff>
      <xdr:row>35</xdr:row>
      <xdr:rowOff>170872</xdr:rowOff>
    </xdr:to>
    <mc:AlternateContent xmlns:mc="http://schemas.openxmlformats.org/markup-compatibility/2006" xmlns:a14="http://schemas.microsoft.com/office/drawing/2010/main">
      <mc:Choice Requires="a14">
        <xdr:graphicFrame macro="">
          <xdr:nvGraphicFramePr>
            <xdr:cNvPr id="16" name="Payment_Method 1">
              <a:extLst>
                <a:ext uri="{FF2B5EF4-FFF2-40B4-BE49-F238E27FC236}">
                  <a16:creationId xmlns:a16="http://schemas.microsoft.com/office/drawing/2014/main" id="{05EF83C3-5CF7-4785-899F-33D061EFFA3E}"/>
                </a:ext>
              </a:extLst>
            </xdr:cNvPr>
            <xdr:cNvGraphicFramePr/>
          </xdr:nvGraphicFramePr>
          <xdr:xfrm>
            <a:off x="0" y="0"/>
            <a:ext cx="0" cy="0"/>
          </xdr:xfrm>
          <a:graphic>
            <a:graphicData uri="http://schemas.microsoft.com/office/drawing/2010/slicer">
              <sle:slicer xmlns:sle="http://schemas.microsoft.com/office/drawing/2010/slicer" name="Payment_Method 1"/>
            </a:graphicData>
          </a:graphic>
        </xdr:graphicFrame>
      </mc:Choice>
      <mc:Fallback xmlns="">
        <xdr:sp macro="" textlink="">
          <xdr:nvSpPr>
            <xdr:cNvPr id="0" name=""/>
            <xdr:cNvSpPr>
              <a:spLocks noTextEdit="1"/>
            </xdr:cNvSpPr>
          </xdr:nvSpPr>
          <xdr:spPr>
            <a:xfrm>
              <a:off x="13750829" y="5379567"/>
              <a:ext cx="1608668" cy="145880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190499</xdr:colOff>
      <xdr:row>3</xdr:row>
      <xdr:rowOff>60614</xdr:rowOff>
    </xdr:from>
    <xdr:to>
      <xdr:col>10</xdr:col>
      <xdr:colOff>155862</xdr:colOff>
      <xdr:row>8</xdr:row>
      <xdr:rowOff>77933</xdr:rowOff>
    </xdr:to>
    <xdr:sp macro="" textlink="Sheet1!C6">
      <xdr:nvSpPr>
        <xdr:cNvPr id="5" name="Rectangle: Rounded Corners 4">
          <a:extLst>
            <a:ext uri="{FF2B5EF4-FFF2-40B4-BE49-F238E27FC236}">
              <a16:creationId xmlns:a16="http://schemas.microsoft.com/office/drawing/2014/main" id="{F4746E6A-2334-7DE1-67A4-FD5B8F92D8F6}"/>
            </a:ext>
          </a:extLst>
        </xdr:cNvPr>
        <xdr:cNvSpPr/>
      </xdr:nvSpPr>
      <xdr:spPr>
        <a:xfrm>
          <a:off x="3827317" y="606137"/>
          <a:ext cx="2389909" cy="926523"/>
        </a:xfrm>
        <a:prstGeom prst="roundRect">
          <a:avLst/>
        </a:prstGeom>
        <a:solidFill>
          <a:srgbClr val="F7B3E7"/>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2D1782F8-C43A-492A-9BC3-4B59E38F4F16}" type="TxLink">
            <a:rPr lang="en-US" sz="1800" b="1" i="0" u="none" strike="noStrike">
              <a:solidFill>
                <a:schemeClr val="tx1"/>
              </a:solidFill>
              <a:latin typeface="Arial Rounded MT Bold" panose="020F0704030504030204" pitchFamily="34" charset="0"/>
              <a:ea typeface="Calibri"/>
              <a:cs typeface="Calibri"/>
            </a:rPr>
            <a:pPr algn="ctr"/>
            <a:t>📦 Total Orders: 100</a:t>
          </a:fld>
          <a:endParaRPr lang="en-IN" sz="1800" b="1">
            <a:solidFill>
              <a:schemeClr val="tx1"/>
            </a:solidFill>
            <a:latin typeface="Arial Rounded MT Bold" panose="020F0704030504030204" pitchFamily="34" charset="0"/>
          </a:endParaRPr>
        </a:p>
      </xdr:txBody>
    </xdr:sp>
    <xdr:clientData/>
  </xdr:twoCellAnchor>
  <xdr:twoCellAnchor>
    <xdr:from>
      <xdr:col>0</xdr:col>
      <xdr:colOff>571500</xdr:colOff>
      <xdr:row>3</xdr:row>
      <xdr:rowOff>43295</xdr:rowOff>
    </xdr:from>
    <xdr:to>
      <xdr:col>4</xdr:col>
      <xdr:colOff>536863</xdr:colOff>
      <xdr:row>8</xdr:row>
      <xdr:rowOff>60614</xdr:rowOff>
    </xdr:to>
    <xdr:sp macro="" textlink="Sheet1!C2">
      <xdr:nvSpPr>
        <xdr:cNvPr id="21" name="Rectangle: Rounded Corners 20">
          <a:extLst>
            <a:ext uri="{FF2B5EF4-FFF2-40B4-BE49-F238E27FC236}">
              <a16:creationId xmlns:a16="http://schemas.microsoft.com/office/drawing/2014/main" id="{95C9F910-6C60-43A8-A05F-94BC543EC988}"/>
            </a:ext>
          </a:extLst>
        </xdr:cNvPr>
        <xdr:cNvSpPr/>
      </xdr:nvSpPr>
      <xdr:spPr>
        <a:xfrm>
          <a:off x="571500" y="588818"/>
          <a:ext cx="2389908" cy="926523"/>
        </a:xfrm>
        <a:prstGeom prst="roundRect">
          <a:avLst/>
        </a:prstGeom>
        <a:solidFill>
          <a:srgbClr val="F7B3E7"/>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3ADCB59C-8DC7-4506-950B-6E0F1A6A9D27}" type="TxLink">
            <a:rPr lang="en-US" sz="1800" b="1" i="0" u="none" strike="noStrike">
              <a:solidFill>
                <a:schemeClr val="tx1"/>
              </a:solidFill>
              <a:latin typeface="Arial Rounded MT Bold" panose="020F0704030504030204" pitchFamily="34" charset="0"/>
              <a:ea typeface="Calibri"/>
              <a:cs typeface="Calibri"/>
            </a:rPr>
            <a:pPr algn="ctr"/>
            <a:t>💰 Total Revenue: ₹1,83,078</a:t>
          </a:fld>
          <a:endParaRPr lang="en-IN" sz="1800" b="1">
            <a:solidFill>
              <a:schemeClr val="tx1"/>
            </a:solidFill>
            <a:latin typeface="Arial Rounded MT Bold" panose="020F0704030504030204" pitchFamily="34" charset="0"/>
            <a:cs typeface="Arial" panose="020B0604020202020204" pitchFamily="34" charset="0"/>
          </a:endParaRPr>
        </a:p>
      </xdr:txBody>
    </xdr:sp>
    <xdr:clientData/>
  </xdr:twoCellAnchor>
  <xdr:twoCellAnchor>
    <xdr:from>
      <xdr:col>17</xdr:col>
      <xdr:colOff>542060</xdr:colOff>
      <xdr:row>3</xdr:row>
      <xdr:rowOff>69274</xdr:rowOff>
    </xdr:from>
    <xdr:to>
      <xdr:col>22</xdr:col>
      <xdr:colOff>155864</xdr:colOff>
      <xdr:row>8</xdr:row>
      <xdr:rowOff>143742</xdr:rowOff>
    </xdr:to>
    <xdr:sp macro="" textlink="Sheet1!C14">
      <xdr:nvSpPr>
        <xdr:cNvPr id="22" name="Rectangle: Rounded Corners 21">
          <a:extLst>
            <a:ext uri="{FF2B5EF4-FFF2-40B4-BE49-F238E27FC236}">
              <a16:creationId xmlns:a16="http://schemas.microsoft.com/office/drawing/2014/main" id="{09A3F9C9-BB52-4E34-8B0E-F5AC395AC828}"/>
            </a:ext>
          </a:extLst>
        </xdr:cNvPr>
        <xdr:cNvSpPr/>
      </xdr:nvSpPr>
      <xdr:spPr>
        <a:xfrm>
          <a:off x="10846378" y="614797"/>
          <a:ext cx="2644486" cy="983672"/>
        </a:xfrm>
        <a:prstGeom prst="roundRect">
          <a:avLst/>
        </a:prstGeom>
        <a:solidFill>
          <a:srgbClr val="F7B3E7"/>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D6A7CC48-1653-45BE-BF55-8419FDA7EB0F}" type="TxLink">
            <a:rPr lang="en-US" sz="1550" b="1" i="0" u="none" strike="noStrike">
              <a:solidFill>
                <a:schemeClr val="tx1"/>
              </a:solidFill>
              <a:latin typeface="Arial Rounded MT Bold" panose="020F0704030504030204" pitchFamily="34" charset="0"/>
              <a:ea typeface="Calibri"/>
              <a:cs typeface="Calibri"/>
            </a:rPr>
            <a:pPr algn="ctr"/>
            <a:t>🧾 Average Order Price: ₹1,830.78</a:t>
          </a:fld>
          <a:endParaRPr lang="en-US" sz="1550" b="1">
            <a:solidFill>
              <a:schemeClr val="tx1"/>
            </a:solidFill>
            <a:latin typeface="Arial Rounded MT Bold" panose="020F0704030504030204" pitchFamily="34" charset="0"/>
          </a:endParaRPr>
        </a:p>
      </xdr:txBody>
    </xdr:sp>
    <xdr:clientData/>
  </xdr:twoCellAnchor>
  <xdr:twoCellAnchor>
    <xdr:from>
      <xdr:col>11</xdr:col>
      <xdr:colOff>521277</xdr:colOff>
      <xdr:row>3</xdr:row>
      <xdr:rowOff>53686</xdr:rowOff>
    </xdr:from>
    <xdr:to>
      <xdr:col>15</xdr:col>
      <xdr:colOff>486640</xdr:colOff>
      <xdr:row>8</xdr:row>
      <xdr:rowOff>71005</xdr:rowOff>
    </xdr:to>
    <xdr:sp macro="" textlink="Sheet1!C10">
      <xdr:nvSpPr>
        <xdr:cNvPr id="26" name="Rectangle: Rounded Corners 25">
          <a:extLst>
            <a:ext uri="{FF2B5EF4-FFF2-40B4-BE49-F238E27FC236}">
              <a16:creationId xmlns:a16="http://schemas.microsoft.com/office/drawing/2014/main" id="{0D92344F-F5FA-4314-A977-F6B9E1A66A50}"/>
            </a:ext>
          </a:extLst>
        </xdr:cNvPr>
        <xdr:cNvSpPr/>
      </xdr:nvSpPr>
      <xdr:spPr>
        <a:xfrm>
          <a:off x="7188777" y="599209"/>
          <a:ext cx="2389908" cy="926523"/>
        </a:xfrm>
        <a:prstGeom prst="roundRect">
          <a:avLst/>
        </a:prstGeom>
        <a:solidFill>
          <a:srgbClr val="F7B3E7"/>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5544EBE0-D04A-479F-BCB7-6AE90F986EEE}" type="TxLink">
            <a:rPr lang="en-US" sz="1700" b="1" i="0" u="none" strike="noStrike">
              <a:solidFill>
                <a:schemeClr val="tx1"/>
              </a:solidFill>
              <a:latin typeface="Arial Rounded MT Bold" panose="020F0704030504030204" pitchFamily="34" charset="0"/>
              <a:ea typeface="Calibri"/>
              <a:cs typeface="Calibri"/>
            </a:rPr>
            <a:pPr algn="ctr"/>
            <a:t>🛒 Total Units Sold: 307</a:t>
          </a:fld>
          <a:endParaRPr lang="en-IN" sz="1700" b="1">
            <a:solidFill>
              <a:schemeClr val="tx1"/>
            </a:solidFill>
            <a:latin typeface="Arial Rounded MT Bold" panose="020F0704030504030204" pitchFamily="34" charset="0"/>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HRUV" refreshedDate="46107.63427534722" createdVersion="8" refreshedVersion="8" minRefreshableVersion="3" recordCount="100" xr:uid="{A3B8C4E6-C589-437E-B472-BB0D8226DA25}">
  <cacheSource type="worksheet">
    <worksheetSource name="Table1"/>
  </cacheSource>
  <cacheFields count="13">
    <cacheField name="ID" numFmtId="0">
      <sharedItems containsSemiMixedTypes="0" containsString="0" containsNumber="1" containsInteger="1" minValue="100" maxValue="199"/>
    </cacheField>
    <cacheField name=" Customer_Name" numFmtId="0">
      <sharedItems/>
    </cacheField>
    <cacheField name="Order_ID" numFmtId="0">
      <sharedItems/>
    </cacheField>
    <cacheField name="Order_Date" numFmtId="14">
      <sharedItems containsSemiMixedTypes="0" containsNonDate="0" containsDate="1" containsString="0" minDate="2023-01-05T00:00:00" maxDate="2025-11-07T00:00:00" count="84">
        <d v="2024-11-22T00:00:00"/>
        <d v="2025-07-05T00:00:00"/>
        <d v="2024-12-23T00:00:00"/>
        <d v="2025-03-19T00:00:00"/>
        <d v="2025-10-20T00:00:00"/>
        <d v="2024-11-20T00:00:00"/>
        <d v="2025-02-02T00:00:00"/>
        <d v="2025-01-03T00:00:00"/>
        <d v="2025-10-23T00:00:00"/>
        <d v="2025-05-03T00:00:00"/>
        <d v="2025-09-26T00:00:00"/>
        <d v="2025-10-22T00:00:00"/>
        <d v="2025-03-02T00:00:00"/>
        <d v="2025-07-24T00:00:00"/>
        <d v="2023-01-05T00:00:00"/>
        <d v="2025-01-10T00:00:00"/>
        <d v="2025-10-30T00:00:00"/>
        <d v="2025-02-12T00:00:00"/>
        <d v="2025-05-31T00:00:00"/>
        <d v="2024-12-19T00:00:00"/>
        <d v="2025-06-13T00:00:00"/>
        <d v="2025-10-11T00:00:00"/>
        <d v="2025-05-16T00:00:00"/>
        <d v="2025-10-06T00:00:00"/>
        <d v="2025-02-09T00:00:00"/>
        <d v="2025-05-18T00:00:00"/>
        <d v="2025-05-12T00:00:00"/>
        <d v="2024-11-10T00:00:00"/>
        <d v="2025-06-22T00:00:00"/>
        <d v="2025-08-15T00:00:00"/>
        <d v="2025-06-11T00:00:00"/>
        <d v="2025-04-02T00:00:00"/>
        <d v="2024-12-05T00:00:00"/>
        <d v="2025-10-04T00:00:00"/>
        <d v="2025-06-12T00:00:00"/>
        <d v="2025-02-23T00:00:00"/>
        <d v="2025-08-09T00:00:00"/>
        <d v="2025-02-26T00:00:00"/>
        <d v="2025-02-13T00:00:00"/>
        <d v="2025-07-11T00:00:00"/>
        <d v="2025-01-27T00:00:00"/>
        <d v="2025-07-09T00:00:00"/>
        <d v="2025-05-01T00:00:00"/>
        <d v="2025-03-13T00:00:00"/>
        <d v="2025-06-29T00:00:00"/>
        <d v="2024-11-27T00:00:00"/>
        <d v="2025-07-01T00:00:00"/>
        <d v="2025-09-22T00:00:00"/>
        <d v="2025-07-16T00:00:00"/>
        <d v="2025-02-21T00:00:00"/>
        <d v="2024-11-28T00:00:00"/>
        <d v="2025-11-06T00:00:00"/>
        <d v="2025-04-05T00:00:00"/>
        <d v="2025-07-28T00:00:00"/>
        <d v="2024-12-15T00:00:00"/>
        <d v="2025-05-19T00:00:00"/>
        <d v="2024-11-08T00:00:00"/>
        <d v="2025-07-03T00:00:00"/>
        <d v="2025-08-07T00:00:00"/>
        <d v="2025-11-04T00:00:00"/>
        <d v="2025-08-12T00:00:00"/>
        <d v="2025-10-03T00:00:00"/>
        <d v="2024-12-06T00:00:00"/>
        <d v="2024-11-18T00:00:00"/>
        <d v="2025-09-20T00:00:00"/>
        <d v="2025-02-24T00:00:00"/>
        <d v="2025-07-22T00:00:00"/>
        <d v="2025-09-18T00:00:00"/>
        <d v="2025-09-03T00:00:00"/>
        <d v="2025-03-26T00:00:00"/>
        <d v="2024-12-29T00:00:00"/>
        <d v="2025-08-03T00:00:00"/>
        <d v="2025-03-10T00:00:00"/>
        <d v="2025-02-15T00:00:00"/>
        <d v="2025-08-14T00:00:00"/>
        <d v="2024-11-19T00:00:00"/>
        <d v="2025-07-18T00:00:00"/>
        <d v="2025-07-07T00:00:00"/>
        <d v="2025-06-06T00:00:00"/>
        <d v="2025-02-10T00:00:00"/>
        <d v="2025-06-19T00:00:00"/>
        <d v="2025-06-23T00:00:00"/>
        <d v="2025-07-27T00:00:00"/>
        <d v="2025-01-22T00:00:00"/>
      </sharedItems>
      <fieldGroup par="12"/>
    </cacheField>
    <cacheField name=" Product" numFmtId="0">
      <sharedItems count="20">
        <s v="Blender"/>
        <s v="Smartphone"/>
        <s v="Tennis Racket"/>
        <s v="Science"/>
        <s v="Biography"/>
        <s v="Basketball"/>
        <s v="Comics"/>
        <s v="Shoes"/>
        <s v="Fiction"/>
        <s v="Microwave"/>
        <s v="Yoga Mat"/>
        <s v="Vacuum"/>
        <s v="Lamp"/>
        <s v="T-shirt"/>
        <s v="Smartwatch"/>
        <s v="Headphones"/>
        <s v="Football"/>
        <s v="Laptop"/>
        <s v="Jacket"/>
        <s v="Jeans"/>
      </sharedItems>
    </cacheField>
    <cacheField name="Category" numFmtId="0">
      <sharedItems count="5">
        <s v="Home"/>
        <s v="Electronics"/>
        <s v="Sports"/>
        <s v="Books"/>
        <s v="Clothing"/>
      </sharedItems>
    </cacheField>
    <cacheField name="Quantity" numFmtId="2">
      <sharedItems containsSemiMixedTypes="0" containsString="0" containsNumber="1" minValue="1" maxValue="5"/>
    </cacheField>
    <cacheField name="Price" numFmtId="164">
      <sharedItems containsSemiMixedTypes="0" containsString="0" containsNumber="1" minValue="38" maxValue="10000"/>
    </cacheField>
    <cacheField name="Payment_Method" numFmtId="0">
      <sharedItems count="4">
        <s v="Cash on Delivery"/>
        <s v="PayPal"/>
        <s v="Bank Transfer"/>
        <s v="Credit Card"/>
      </sharedItems>
    </cacheField>
    <cacheField name="Status" numFmtId="0">
      <sharedItems count="5">
        <s v="Shipped"/>
        <s v="Processing"/>
        <s v="Delivered"/>
        <s v="Cancelled"/>
        <s v="Returned"/>
      </sharedItems>
    </cacheField>
    <cacheField name="Total" numFmtId="164">
      <sharedItems containsSemiMixedTypes="0" containsString="0" containsNumber="1" minValue="40.950000000000003" maxValue="20000" count="96">
        <n v="114"/>
        <n v="1243.0595604395603"/>
        <n v="389.05"/>
        <n v="1169.5999999999999"/>
        <n v="552.51"/>
        <n v="366.18"/>
        <n v="3008.7667021276593"/>
        <n v="2938.3999999999996"/>
        <n v="600.29"/>
        <n v="841.7"/>
        <n v="3107.6489010989008"/>
        <n v="1731.54"/>
        <n v="3008.52"/>
        <n v="411.81"/>
        <n v="826.26"/>
        <n v="1593.68"/>
        <n v="2486.1191208791206"/>
        <n v="20000"/>
        <n v="1239.0999999999999"/>
        <n v="1752.76"/>
        <n v="1500"/>
        <n v="2092.04"/>
        <n v="1113.8599999999999"/>
        <n v="1847.73"/>
        <n v="3062.76"/>
        <n v="3347.2"/>
        <n v="1680.1"/>
        <n v="2696.07"/>
        <n v="2946.84"/>
        <n v="3083.15"/>
        <n v="266.7"/>
        <n v="1716.2"/>
        <n v="2957.6499999999996"/>
        <n v="1784.76"/>
        <n v="696.71"/>
        <n v="1864.5893406593405"/>
        <n v="531.05999999999995"/>
        <n v="1362.76"/>
        <n v="2355.92"/>
        <n v="1638.12"/>
        <n v="3226.3"/>
        <n v="4133.8500000000004"/>
        <n v="4245.3500000000004"/>
        <n v="1721.98"/>
        <n v="1410.84"/>
        <n v="2384.6"/>
        <n v="660.98"/>
        <n v="4481.8999999999996"/>
        <n v="206.19"/>
        <n v="914.32"/>
        <n v="699.33"/>
        <n v="1115.5999999999999"/>
        <n v="3948.2"/>
        <n v="40.950000000000003"/>
        <n v="1100.4000000000001"/>
        <n v="933.58"/>
        <n v="489.48"/>
        <n v="1212.6000000000001"/>
        <n v="837.28"/>
        <n v="311.52"/>
        <n v="705.78"/>
        <n v="1806.6804255319148"/>
        <n v="886.26"/>
        <n v="1138.76"/>
        <n v="1826.0188297872337"/>
        <n v="282.98"/>
        <n v="582.13"/>
        <n v="3708.15"/>
        <n v="2066.04"/>
        <n v="1885.52"/>
        <n v="1759.4499999999998"/>
        <n v="749.92"/>
        <n v="111.36"/>
        <n v="2652.6"/>
        <n v="69.48"/>
        <n v="1416.42"/>
        <n v="2606.0099999999998"/>
        <n v="836.76"/>
        <n v="266.48"/>
        <n v="2153.4"/>
        <n v="404.76"/>
        <n v="1461.84"/>
        <n v="365.34"/>
        <n v="2648.88"/>
        <n v="2520.25"/>
        <n v="814.68"/>
        <n v="920.37"/>
        <n v="1762.04"/>
        <n v="626.05393617021275"/>
        <n v="1604.9338297872339"/>
        <n v="4722.7"/>
        <n v="4087.3"/>
        <n v="1910.8734732288985"/>
        <n v="160.16"/>
        <n v="994.02"/>
        <n v="1861.3999999999999"/>
      </sharedItems>
    </cacheField>
    <cacheField name="Months (Order_Date)" numFmtId="0" databaseField="0">
      <fieldGroup base="3">
        <rangePr autoStart="0" autoEnd="0" groupBy="months" startDate="2025-01-03T00:00:00" endDate="2025-11-06T00:00:00"/>
        <groupItems count="14">
          <s v="&lt;03-01-2025"/>
          <s v="Jan"/>
          <s v="Feb"/>
          <s v="Mar"/>
          <s v="Apr"/>
          <s v="May"/>
          <s v="Jun"/>
          <s v="Jul"/>
          <s v="Aug"/>
          <s v="Sep"/>
          <s v="Oct"/>
          <s v="Nov"/>
          <s v="Dec"/>
          <s v="&gt;06-11-2025"/>
        </groupItems>
      </fieldGroup>
    </cacheField>
    <cacheField name="Years (Order_Date)" numFmtId="0" databaseField="0">
      <fieldGroup base="3">
        <rangePr autoStart="0" autoEnd="0" groupBy="years" startDate="2025-01-03T00:00:00" endDate="2025-11-06T00:00:00"/>
        <groupItems count="3">
          <s v="&lt;03-01-2025"/>
          <s v="2025"/>
          <s v="&gt;06-11-2025"/>
        </groupItems>
      </fieldGroup>
    </cacheField>
  </cacheFields>
  <extLst>
    <ext xmlns:x14="http://schemas.microsoft.com/office/spreadsheetml/2009/9/main" uri="{725AE2AE-9491-48be-B2B4-4EB974FC3084}">
      <x14:pivotCacheDefinition pivotCacheId="140466936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n v="100"/>
    <s v="Customer_100"/>
    <s v="ORD-41285"/>
    <x v="0"/>
    <x v="0"/>
    <x v="0"/>
    <n v="3"/>
    <n v="38"/>
    <x v="0"/>
    <x v="0"/>
    <x v="0"/>
  </r>
  <r>
    <n v="101"/>
    <s v="Customer_101"/>
    <s v="ORD-35783"/>
    <x v="1"/>
    <x v="1"/>
    <x v="1"/>
    <n v="2"/>
    <n v="621.52978021978015"/>
    <x v="1"/>
    <x v="1"/>
    <x v="1"/>
  </r>
  <r>
    <n v="102"/>
    <s v="Customer_102"/>
    <s v="ORD-84355"/>
    <x v="2"/>
    <x v="2"/>
    <x v="2"/>
    <n v="1"/>
    <n v="389.05"/>
    <x v="1"/>
    <x v="2"/>
    <x v="2"/>
  </r>
  <r>
    <n v="103"/>
    <s v="Customer_103"/>
    <s v="ORD-57811"/>
    <x v="3"/>
    <x v="3"/>
    <x v="3"/>
    <n v="5"/>
    <n v="233.92"/>
    <x v="1"/>
    <x v="1"/>
    <x v="3"/>
  </r>
  <r>
    <n v="104"/>
    <s v="Customer_104"/>
    <s v="ORD-93614"/>
    <x v="4"/>
    <x v="4"/>
    <x v="3"/>
    <n v="1"/>
    <n v="552.51"/>
    <x v="0"/>
    <x v="1"/>
    <x v="4"/>
  </r>
  <r>
    <n v="105"/>
    <s v="Customer_105"/>
    <s v="ORD-22442"/>
    <x v="5"/>
    <x v="2"/>
    <x v="2"/>
    <n v="3"/>
    <n v="122.06"/>
    <x v="0"/>
    <x v="3"/>
    <x v="5"/>
  </r>
  <r>
    <n v="106"/>
    <s v="Customer_106"/>
    <s v="ORD-25885"/>
    <x v="6"/>
    <x v="0"/>
    <x v="0"/>
    <n v="3.0744680851063828"/>
    <n v="978.63"/>
    <x v="2"/>
    <x v="1"/>
    <x v="6"/>
  </r>
  <r>
    <n v="107"/>
    <s v="Customer_107"/>
    <s v="ORD-89122"/>
    <x v="7"/>
    <x v="4"/>
    <x v="3"/>
    <n v="5"/>
    <n v="587.67999999999995"/>
    <x v="1"/>
    <x v="4"/>
    <x v="7"/>
  </r>
  <r>
    <n v="108"/>
    <s v="Customer_108"/>
    <s v="ORD-64400"/>
    <x v="8"/>
    <x v="3"/>
    <x v="3"/>
    <n v="1"/>
    <n v="600.29"/>
    <x v="0"/>
    <x v="1"/>
    <x v="8"/>
  </r>
  <r>
    <n v="109"/>
    <s v="Customer_109"/>
    <s v="ORD-18512"/>
    <x v="9"/>
    <x v="2"/>
    <x v="2"/>
    <n v="5"/>
    <n v="168.34"/>
    <x v="3"/>
    <x v="0"/>
    <x v="9"/>
  </r>
  <r>
    <n v="110"/>
    <s v="Customer_110"/>
    <s v="ORD-61020"/>
    <x v="10"/>
    <x v="5"/>
    <x v="2"/>
    <n v="5"/>
    <n v="621.52978021978015"/>
    <x v="0"/>
    <x v="3"/>
    <x v="10"/>
  </r>
  <r>
    <n v="111"/>
    <s v="Customer_111"/>
    <s v="ORD-72349"/>
    <x v="11"/>
    <x v="6"/>
    <x v="3"/>
    <n v="2"/>
    <n v="865.77"/>
    <x v="3"/>
    <x v="4"/>
    <x v="11"/>
  </r>
  <r>
    <n v="112"/>
    <s v="Customer_112"/>
    <s v="ORD-80867"/>
    <x v="12"/>
    <x v="7"/>
    <x v="4"/>
    <n v="4"/>
    <n v="752.13"/>
    <x v="2"/>
    <x v="2"/>
    <x v="12"/>
  </r>
  <r>
    <n v="113"/>
    <s v="Customer_113"/>
    <s v="ORD-23994"/>
    <x v="13"/>
    <x v="8"/>
    <x v="3"/>
    <n v="1"/>
    <n v="411.81"/>
    <x v="3"/>
    <x v="1"/>
    <x v="13"/>
  </r>
  <r>
    <n v="114"/>
    <s v="Customer_114"/>
    <s v="ORD-77417"/>
    <x v="14"/>
    <x v="1"/>
    <x v="1"/>
    <n v="2"/>
    <n v="413.13"/>
    <x v="0"/>
    <x v="0"/>
    <x v="14"/>
  </r>
  <r>
    <n v="115"/>
    <s v="Customer_115"/>
    <s v="ORD-72778"/>
    <x v="15"/>
    <x v="8"/>
    <x v="3"/>
    <n v="2"/>
    <n v="796.84"/>
    <x v="0"/>
    <x v="4"/>
    <x v="15"/>
  </r>
  <r>
    <n v="116"/>
    <s v="Customer_116"/>
    <s v="ORD-63660"/>
    <x v="16"/>
    <x v="9"/>
    <x v="0"/>
    <n v="4"/>
    <n v="621.52978021978015"/>
    <x v="0"/>
    <x v="1"/>
    <x v="16"/>
  </r>
  <r>
    <n v="117"/>
    <s v="Customer_117"/>
    <s v="ORD-72751"/>
    <x v="17"/>
    <x v="0"/>
    <x v="1"/>
    <n v="2"/>
    <n v="10000"/>
    <x v="0"/>
    <x v="1"/>
    <x v="17"/>
  </r>
  <r>
    <n v="118"/>
    <s v="Customer_118"/>
    <s v="ORD-96061"/>
    <x v="18"/>
    <x v="3"/>
    <x v="3"/>
    <n v="5"/>
    <n v="247.82"/>
    <x v="1"/>
    <x v="1"/>
    <x v="18"/>
  </r>
  <r>
    <n v="119"/>
    <s v="Customer_119"/>
    <s v="ORD-76016"/>
    <x v="19"/>
    <x v="5"/>
    <x v="2"/>
    <n v="4"/>
    <n v="438.19"/>
    <x v="0"/>
    <x v="1"/>
    <x v="19"/>
  </r>
  <r>
    <n v="120"/>
    <s v="Customer_120"/>
    <s v="ORD-14659"/>
    <x v="20"/>
    <x v="10"/>
    <x v="1"/>
    <n v="5"/>
    <n v="300"/>
    <x v="3"/>
    <x v="3"/>
    <x v="20"/>
  </r>
  <r>
    <n v="121"/>
    <s v="Customer_121"/>
    <s v="ORD-80067"/>
    <x v="21"/>
    <x v="5"/>
    <x v="2"/>
    <n v="4"/>
    <n v="523.01"/>
    <x v="3"/>
    <x v="2"/>
    <x v="21"/>
  </r>
  <r>
    <n v="122"/>
    <s v="Customer_122"/>
    <s v="ORD-21443"/>
    <x v="22"/>
    <x v="9"/>
    <x v="0"/>
    <n v="2"/>
    <n v="556.92999999999995"/>
    <x v="1"/>
    <x v="0"/>
    <x v="22"/>
  </r>
  <r>
    <n v="123"/>
    <s v="Customer_123"/>
    <s v="ORD-11314"/>
    <x v="23"/>
    <x v="11"/>
    <x v="1"/>
    <n v="3"/>
    <n v="615.91"/>
    <x v="0"/>
    <x v="3"/>
    <x v="23"/>
  </r>
  <r>
    <n v="124"/>
    <s v="Customer_124"/>
    <s v="ORD-46136"/>
    <x v="18"/>
    <x v="6"/>
    <x v="3"/>
    <n v="5"/>
    <n v="621.52978021978015"/>
    <x v="1"/>
    <x v="3"/>
    <x v="10"/>
  </r>
  <r>
    <n v="125"/>
    <s v="Customer_125"/>
    <s v="ORD-23202"/>
    <x v="24"/>
    <x v="6"/>
    <x v="3"/>
    <n v="4"/>
    <n v="765.69"/>
    <x v="1"/>
    <x v="0"/>
    <x v="24"/>
  </r>
  <r>
    <n v="126"/>
    <s v="Customer_126"/>
    <s v="ORD-11261"/>
    <x v="25"/>
    <x v="7"/>
    <x v="4"/>
    <n v="4"/>
    <n v="836.8"/>
    <x v="2"/>
    <x v="3"/>
    <x v="25"/>
  </r>
  <r>
    <n v="127"/>
    <s v="Customer_127"/>
    <s v="ORD-65482"/>
    <x v="26"/>
    <x v="0"/>
    <x v="0"/>
    <n v="5"/>
    <n v="336.02"/>
    <x v="2"/>
    <x v="4"/>
    <x v="26"/>
  </r>
  <r>
    <n v="128"/>
    <s v="Customer_128"/>
    <s v="ORD-12270"/>
    <x v="27"/>
    <x v="12"/>
    <x v="1"/>
    <n v="3"/>
    <n v="898.69"/>
    <x v="2"/>
    <x v="2"/>
    <x v="27"/>
  </r>
  <r>
    <n v="129"/>
    <s v="Customer_129"/>
    <s v="ORD-48863"/>
    <x v="28"/>
    <x v="3"/>
    <x v="3"/>
    <n v="4"/>
    <n v="736.71"/>
    <x v="2"/>
    <x v="4"/>
    <x v="28"/>
  </r>
  <r>
    <n v="130"/>
    <s v="Customer_130"/>
    <s v="ORD-34007"/>
    <x v="29"/>
    <x v="2"/>
    <x v="2"/>
    <n v="2"/>
    <n v="621.52978021978015"/>
    <x v="2"/>
    <x v="1"/>
    <x v="1"/>
  </r>
  <r>
    <n v="131"/>
    <s v="Customer_131"/>
    <s v="ORD-91396"/>
    <x v="30"/>
    <x v="12"/>
    <x v="0"/>
    <n v="5"/>
    <n v="616.63"/>
    <x v="1"/>
    <x v="0"/>
    <x v="29"/>
  </r>
  <r>
    <n v="132"/>
    <s v="Customer_132"/>
    <s v="ORD-40186"/>
    <x v="31"/>
    <x v="10"/>
    <x v="1"/>
    <n v="1"/>
    <n v="266.7"/>
    <x v="1"/>
    <x v="2"/>
    <x v="30"/>
  </r>
  <r>
    <n v="133"/>
    <s v="Customer_133"/>
    <s v="ORD-68182"/>
    <x v="32"/>
    <x v="4"/>
    <x v="3"/>
    <n v="5"/>
    <n v="343.24"/>
    <x v="3"/>
    <x v="0"/>
    <x v="31"/>
  </r>
  <r>
    <n v="134"/>
    <s v="Customer_134"/>
    <s v="ORD-16585"/>
    <x v="33"/>
    <x v="13"/>
    <x v="4"/>
    <n v="5"/>
    <n v="591.53"/>
    <x v="1"/>
    <x v="0"/>
    <x v="32"/>
  </r>
  <r>
    <n v="135"/>
    <s v="Customer_135"/>
    <s v="ORD-33656"/>
    <x v="24"/>
    <x v="14"/>
    <x v="1"/>
    <n v="4"/>
    <n v="446.19"/>
    <x v="0"/>
    <x v="3"/>
    <x v="33"/>
  </r>
  <r>
    <n v="136"/>
    <s v="Customer_136"/>
    <s v="ORD-20985"/>
    <x v="34"/>
    <x v="15"/>
    <x v="1"/>
    <n v="1"/>
    <n v="696.71"/>
    <x v="3"/>
    <x v="2"/>
    <x v="34"/>
  </r>
  <r>
    <n v="137"/>
    <s v="Customer_137"/>
    <s v="ORD-91254"/>
    <x v="35"/>
    <x v="11"/>
    <x v="0"/>
    <n v="3"/>
    <n v="621.52978021978015"/>
    <x v="0"/>
    <x v="2"/>
    <x v="35"/>
  </r>
  <r>
    <n v="138"/>
    <s v="Customer_138"/>
    <s v="ORD-34319"/>
    <x v="36"/>
    <x v="12"/>
    <x v="0"/>
    <n v="1"/>
    <n v="531.05999999999995"/>
    <x v="1"/>
    <x v="1"/>
    <x v="36"/>
  </r>
  <r>
    <n v="139"/>
    <s v="Customer_139"/>
    <s v="ORD-38418"/>
    <x v="24"/>
    <x v="1"/>
    <x v="1"/>
    <n v="2"/>
    <n v="681.38"/>
    <x v="3"/>
    <x v="3"/>
    <x v="37"/>
  </r>
  <r>
    <n v="140"/>
    <s v="Customer_140"/>
    <s v="ORD-67096"/>
    <x v="37"/>
    <x v="8"/>
    <x v="3"/>
    <n v="4"/>
    <n v="588.98"/>
    <x v="3"/>
    <x v="4"/>
    <x v="38"/>
  </r>
  <r>
    <n v="141"/>
    <s v="Customer_141"/>
    <s v="ORD-45059"/>
    <x v="38"/>
    <x v="8"/>
    <x v="3"/>
    <n v="3"/>
    <n v="546.04"/>
    <x v="0"/>
    <x v="4"/>
    <x v="39"/>
  </r>
  <r>
    <n v="142"/>
    <s v="Customer_142"/>
    <s v="ORD-69018"/>
    <x v="16"/>
    <x v="7"/>
    <x v="4"/>
    <n v="5"/>
    <n v="645.26"/>
    <x v="3"/>
    <x v="0"/>
    <x v="40"/>
  </r>
  <r>
    <n v="143"/>
    <s v="Customer_143"/>
    <s v="ORD-14329"/>
    <x v="39"/>
    <x v="13"/>
    <x v="4"/>
    <n v="5"/>
    <n v="826.77"/>
    <x v="2"/>
    <x v="3"/>
    <x v="41"/>
  </r>
  <r>
    <n v="144"/>
    <s v="Customer_144"/>
    <s v="ORD-89452"/>
    <x v="40"/>
    <x v="16"/>
    <x v="2"/>
    <n v="5"/>
    <n v="849.07"/>
    <x v="2"/>
    <x v="1"/>
    <x v="42"/>
  </r>
  <r>
    <n v="145"/>
    <s v="Customer_145"/>
    <s v="ORD-75314"/>
    <x v="14"/>
    <x v="17"/>
    <x v="1"/>
    <n v="2"/>
    <n v="860.99"/>
    <x v="2"/>
    <x v="4"/>
    <x v="43"/>
  </r>
  <r>
    <n v="146"/>
    <s v="Customer_146"/>
    <s v="ORD-32755"/>
    <x v="41"/>
    <x v="5"/>
    <x v="1"/>
    <n v="2"/>
    <n v="705.42"/>
    <x v="2"/>
    <x v="1"/>
    <x v="44"/>
  </r>
  <r>
    <n v="147"/>
    <s v="Customer_147"/>
    <s v="ORD-80707"/>
    <x v="42"/>
    <x v="18"/>
    <x v="4"/>
    <n v="4"/>
    <n v="596.15"/>
    <x v="0"/>
    <x v="0"/>
    <x v="45"/>
  </r>
  <r>
    <n v="148"/>
    <s v="Customer_148"/>
    <s v="ORD-38423"/>
    <x v="43"/>
    <x v="2"/>
    <x v="2"/>
    <n v="1"/>
    <n v="660.98"/>
    <x v="0"/>
    <x v="4"/>
    <x v="46"/>
  </r>
  <r>
    <n v="149"/>
    <s v="Customer_149"/>
    <s v="ORD-95911"/>
    <x v="44"/>
    <x v="6"/>
    <x v="3"/>
    <n v="5"/>
    <n v="896.38"/>
    <x v="2"/>
    <x v="3"/>
    <x v="47"/>
  </r>
  <r>
    <n v="150"/>
    <s v="Customer_150"/>
    <s v="ORD-76902"/>
    <x v="45"/>
    <x v="10"/>
    <x v="2"/>
    <n v="1"/>
    <n v="206.19"/>
    <x v="3"/>
    <x v="4"/>
    <x v="48"/>
  </r>
  <r>
    <n v="151"/>
    <s v="Customer_151"/>
    <s v="ORD-56552"/>
    <x v="46"/>
    <x v="6"/>
    <x v="3"/>
    <n v="2"/>
    <n v="457.16"/>
    <x v="1"/>
    <x v="1"/>
    <x v="49"/>
  </r>
  <r>
    <n v="152"/>
    <s v="Customer_152"/>
    <s v="ORD-72869"/>
    <x v="47"/>
    <x v="12"/>
    <x v="0"/>
    <n v="3"/>
    <n v="233.11"/>
    <x v="1"/>
    <x v="4"/>
    <x v="50"/>
  </r>
  <r>
    <n v="153"/>
    <s v="Customer_153"/>
    <s v="ORD-29721"/>
    <x v="48"/>
    <x v="10"/>
    <x v="2"/>
    <n v="4"/>
    <n v="278.89999999999998"/>
    <x v="0"/>
    <x v="1"/>
    <x v="51"/>
  </r>
  <r>
    <n v="154"/>
    <s v="Customer_154"/>
    <s v="ORD-95990"/>
    <x v="49"/>
    <x v="0"/>
    <x v="0"/>
    <n v="5"/>
    <n v="789.64"/>
    <x v="0"/>
    <x v="3"/>
    <x v="52"/>
  </r>
  <r>
    <n v="155"/>
    <s v="Customer_155"/>
    <s v="ORD-20182"/>
    <x v="42"/>
    <x v="7"/>
    <x v="4"/>
    <n v="1"/>
    <n v="40.950000000000003"/>
    <x v="1"/>
    <x v="4"/>
    <x v="53"/>
  </r>
  <r>
    <n v="156"/>
    <s v="Customer_156"/>
    <s v="ORD-34679"/>
    <x v="50"/>
    <x v="19"/>
    <x v="4"/>
    <n v="2"/>
    <n v="621.52978021978015"/>
    <x v="2"/>
    <x v="0"/>
    <x v="1"/>
  </r>
  <r>
    <n v="157"/>
    <s v="Customer_157"/>
    <s v="ORD-34407"/>
    <x v="51"/>
    <x v="18"/>
    <x v="4"/>
    <n v="4"/>
    <n v="275.10000000000002"/>
    <x v="2"/>
    <x v="1"/>
    <x v="54"/>
  </r>
  <r>
    <n v="158"/>
    <s v="Customer_158"/>
    <s v="ORD-35817"/>
    <x v="52"/>
    <x v="14"/>
    <x v="1"/>
    <n v="1"/>
    <n v="933.58"/>
    <x v="0"/>
    <x v="0"/>
    <x v="55"/>
  </r>
  <r>
    <n v="159"/>
    <s v="Customer_159"/>
    <s v="ORD-98162"/>
    <x v="53"/>
    <x v="9"/>
    <x v="0"/>
    <n v="3"/>
    <n v="163.16"/>
    <x v="1"/>
    <x v="0"/>
    <x v="56"/>
  </r>
  <r>
    <n v="160"/>
    <s v="Customer_160"/>
    <s v="ORD-96037"/>
    <x v="7"/>
    <x v="3"/>
    <x v="3"/>
    <n v="5"/>
    <n v="242.52"/>
    <x v="0"/>
    <x v="4"/>
    <x v="57"/>
  </r>
  <r>
    <n v="161"/>
    <s v="Customer_161"/>
    <s v="ORD-27653"/>
    <x v="54"/>
    <x v="3"/>
    <x v="3"/>
    <n v="4"/>
    <n v="209.32"/>
    <x v="2"/>
    <x v="0"/>
    <x v="58"/>
  </r>
  <r>
    <n v="162"/>
    <s v="Customer_162"/>
    <s v="ORD-27743"/>
    <x v="55"/>
    <x v="0"/>
    <x v="0"/>
    <n v="2"/>
    <n v="155.76"/>
    <x v="3"/>
    <x v="4"/>
    <x v="59"/>
  </r>
  <r>
    <n v="163"/>
    <s v="Customer_163"/>
    <s v="ORD-24378"/>
    <x v="14"/>
    <x v="14"/>
    <x v="1"/>
    <n v="3"/>
    <n v="235.26"/>
    <x v="0"/>
    <x v="0"/>
    <x v="60"/>
  </r>
  <r>
    <n v="164"/>
    <s v="Customer_164"/>
    <s v="ORD-23010"/>
    <x v="24"/>
    <x v="2"/>
    <x v="2"/>
    <n v="3.0744680851063828"/>
    <n v="587.64"/>
    <x v="3"/>
    <x v="4"/>
    <x v="61"/>
  </r>
  <r>
    <n v="165"/>
    <s v="Customer_165"/>
    <s v="ORD-55695"/>
    <x v="56"/>
    <x v="7"/>
    <x v="4"/>
    <n v="2"/>
    <n v="443.13"/>
    <x v="3"/>
    <x v="2"/>
    <x v="62"/>
  </r>
  <r>
    <n v="166"/>
    <s v="Customer_166"/>
    <s v="ORD-97756"/>
    <x v="57"/>
    <x v="13"/>
    <x v="1"/>
    <n v="2"/>
    <n v="569.38"/>
    <x v="0"/>
    <x v="0"/>
    <x v="63"/>
  </r>
  <r>
    <n v="167"/>
    <s v="Customer_167"/>
    <s v="ORD-30329"/>
    <x v="58"/>
    <x v="5"/>
    <x v="2"/>
    <n v="3.0744680851063828"/>
    <n v="593.92999999999995"/>
    <x v="0"/>
    <x v="1"/>
    <x v="64"/>
  </r>
  <r>
    <n v="168"/>
    <s v="Customer_168"/>
    <s v="ORD-53430"/>
    <x v="59"/>
    <x v="4"/>
    <x v="3"/>
    <n v="2"/>
    <n v="141.49"/>
    <x v="1"/>
    <x v="3"/>
    <x v="65"/>
  </r>
  <r>
    <n v="169"/>
    <s v="Customer_169"/>
    <s v="ORD-75539"/>
    <x v="60"/>
    <x v="5"/>
    <x v="2"/>
    <n v="1"/>
    <n v="582.13"/>
    <x v="3"/>
    <x v="4"/>
    <x v="66"/>
  </r>
  <r>
    <n v="170"/>
    <s v="Customer_170"/>
    <s v="ORD-21530"/>
    <x v="61"/>
    <x v="19"/>
    <x v="4"/>
    <n v="5"/>
    <n v="741.63"/>
    <x v="2"/>
    <x v="1"/>
    <x v="67"/>
  </r>
  <r>
    <n v="171"/>
    <s v="Customer_171"/>
    <s v="ORD-99790"/>
    <x v="62"/>
    <x v="7"/>
    <x v="4"/>
    <n v="3"/>
    <n v="688.68"/>
    <x v="1"/>
    <x v="1"/>
    <x v="68"/>
  </r>
  <r>
    <n v="172"/>
    <s v="Customer_172"/>
    <s v="ORD-48008"/>
    <x v="63"/>
    <x v="6"/>
    <x v="3"/>
    <n v="2"/>
    <n v="942.76"/>
    <x v="2"/>
    <x v="4"/>
    <x v="69"/>
  </r>
  <r>
    <n v="173"/>
    <s v="Customer_173"/>
    <s v="ORD-42171"/>
    <x v="21"/>
    <x v="12"/>
    <x v="0"/>
    <n v="5"/>
    <n v="351.89"/>
    <x v="3"/>
    <x v="0"/>
    <x v="70"/>
  </r>
  <r>
    <n v="174"/>
    <s v="Customer_174"/>
    <s v="ORD-16766"/>
    <x v="64"/>
    <x v="9"/>
    <x v="1"/>
    <n v="4"/>
    <n v="187.48"/>
    <x v="3"/>
    <x v="4"/>
    <x v="71"/>
  </r>
  <r>
    <n v="175"/>
    <s v="Customer_175"/>
    <s v="ORD-56651"/>
    <x v="65"/>
    <x v="15"/>
    <x v="1"/>
    <n v="1"/>
    <n v="111.36"/>
    <x v="3"/>
    <x v="1"/>
    <x v="72"/>
  </r>
  <r>
    <n v="176"/>
    <s v="Customer_176"/>
    <s v="ORD-95794"/>
    <x v="66"/>
    <x v="6"/>
    <x v="3"/>
    <n v="5"/>
    <n v="530.52"/>
    <x v="0"/>
    <x v="0"/>
    <x v="73"/>
  </r>
  <r>
    <n v="177"/>
    <s v="Customer_177"/>
    <s v="ORD-64136"/>
    <x v="53"/>
    <x v="17"/>
    <x v="1"/>
    <n v="1"/>
    <n v="69.48"/>
    <x v="2"/>
    <x v="4"/>
    <x v="74"/>
  </r>
  <r>
    <n v="178"/>
    <s v="Customer_178"/>
    <s v="ORD-89906"/>
    <x v="67"/>
    <x v="2"/>
    <x v="2"/>
    <n v="3"/>
    <n v="472.14"/>
    <x v="1"/>
    <x v="4"/>
    <x v="75"/>
  </r>
  <r>
    <n v="179"/>
    <s v="Customer_179"/>
    <s v="ORD-99328"/>
    <x v="68"/>
    <x v="10"/>
    <x v="2"/>
    <n v="3"/>
    <n v="868.67"/>
    <x v="1"/>
    <x v="2"/>
    <x v="76"/>
  </r>
  <r>
    <n v="180"/>
    <s v="Customer_180"/>
    <s v="ORD-86629"/>
    <x v="69"/>
    <x v="17"/>
    <x v="1"/>
    <n v="2"/>
    <n v="418.38"/>
    <x v="3"/>
    <x v="1"/>
    <x v="77"/>
  </r>
  <r>
    <n v="181"/>
    <s v="Customer_181"/>
    <s v="ORD-54481"/>
    <x v="70"/>
    <x v="1"/>
    <x v="1"/>
    <n v="1"/>
    <n v="266.48"/>
    <x v="0"/>
    <x v="3"/>
    <x v="78"/>
  </r>
  <r>
    <n v="182"/>
    <s v="Customer_182"/>
    <s v="ORD-79672"/>
    <x v="71"/>
    <x v="7"/>
    <x v="4"/>
    <n v="4"/>
    <n v="538.35"/>
    <x v="1"/>
    <x v="1"/>
    <x v="79"/>
  </r>
  <r>
    <n v="183"/>
    <s v="Customer_183"/>
    <s v="ORD-20916"/>
    <x v="72"/>
    <x v="7"/>
    <x v="4"/>
    <n v="5"/>
    <n v="621.52978021978015"/>
    <x v="0"/>
    <x v="4"/>
    <x v="10"/>
  </r>
  <r>
    <n v="184"/>
    <s v="Customer_184"/>
    <s v="ORD-67799"/>
    <x v="73"/>
    <x v="19"/>
    <x v="4"/>
    <n v="4"/>
    <n v="101.19"/>
    <x v="2"/>
    <x v="1"/>
    <x v="80"/>
  </r>
  <r>
    <n v="185"/>
    <s v="Customer_185"/>
    <s v="ORD-57123"/>
    <x v="74"/>
    <x v="16"/>
    <x v="2"/>
    <n v="2"/>
    <n v="730.92"/>
    <x v="0"/>
    <x v="3"/>
    <x v="81"/>
  </r>
  <r>
    <n v="186"/>
    <s v="Customer_186"/>
    <s v="ORD-90569"/>
    <x v="23"/>
    <x v="17"/>
    <x v="1"/>
    <n v="1"/>
    <n v="365.34"/>
    <x v="2"/>
    <x v="2"/>
    <x v="82"/>
  </r>
  <r>
    <n v="187"/>
    <s v="Customer_187"/>
    <s v="ORD-41292"/>
    <x v="75"/>
    <x v="1"/>
    <x v="1"/>
    <n v="3"/>
    <n v="882.96"/>
    <x v="2"/>
    <x v="4"/>
    <x v="83"/>
  </r>
  <r>
    <n v="188"/>
    <s v="Customer_188"/>
    <s v="ORD-58590"/>
    <x v="75"/>
    <x v="9"/>
    <x v="0"/>
    <n v="5"/>
    <n v="504.05"/>
    <x v="0"/>
    <x v="0"/>
    <x v="84"/>
  </r>
  <r>
    <n v="189"/>
    <s v="Customer_189"/>
    <s v="ORD-30627"/>
    <x v="74"/>
    <x v="12"/>
    <x v="0"/>
    <n v="1"/>
    <n v="814.68"/>
    <x v="0"/>
    <x v="4"/>
    <x v="85"/>
  </r>
  <r>
    <n v="190"/>
    <s v="Customer_190"/>
    <s v="ORD-38469"/>
    <x v="44"/>
    <x v="11"/>
    <x v="0"/>
    <n v="1"/>
    <n v="920.37"/>
    <x v="2"/>
    <x v="1"/>
    <x v="86"/>
  </r>
  <r>
    <n v="191"/>
    <s v="Customer_191"/>
    <s v="ORD-41810"/>
    <x v="76"/>
    <x v="8"/>
    <x v="3"/>
    <n v="2"/>
    <n v="881.02"/>
    <x v="0"/>
    <x v="4"/>
    <x v="87"/>
  </r>
  <r>
    <n v="192"/>
    <s v="Customer_192"/>
    <s v="ORD-35144"/>
    <x v="77"/>
    <x v="18"/>
    <x v="4"/>
    <n v="3.0744680851063828"/>
    <n v="203.63"/>
    <x v="3"/>
    <x v="4"/>
    <x v="88"/>
  </r>
  <r>
    <n v="193"/>
    <s v="Customer_193"/>
    <s v="ORD-42475"/>
    <x v="78"/>
    <x v="5"/>
    <x v="2"/>
    <n v="3.0744680851063828"/>
    <n v="522.02"/>
    <x v="1"/>
    <x v="0"/>
    <x v="89"/>
  </r>
  <r>
    <n v="194"/>
    <s v="Customer_194"/>
    <s v="ORD-69764"/>
    <x v="79"/>
    <x v="12"/>
    <x v="0"/>
    <n v="5"/>
    <n v="944.54"/>
    <x v="0"/>
    <x v="4"/>
    <x v="90"/>
  </r>
  <r>
    <n v="195"/>
    <s v="Customer_195"/>
    <s v="ORD-82876"/>
    <x v="80"/>
    <x v="4"/>
    <x v="3"/>
    <n v="5"/>
    <n v="817.46"/>
    <x v="0"/>
    <x v="4"/>
    <x v="91"/>
  </r>
  <r>
    <n v="196"/>
    <s v="Customer_196"/>
    <s v="ORD-78384"/>
    <x v="2"/>
    <x v="11"/>
    <x v="0"/>
    <n v="3.0744680851063828"/>
    <n v="621.52978021978015"/>
    <x v="1"/>
    <x v="2"/>
    <x v="92"/>
  </r>
  <r>
    <n v="197"/>
    <s v="Customer_197"/>
    <s v="ORD-79139"/>
    <x v="81"/>
    <x v="0"/>
    <x v="0"/>
    <n v="1"/>
    <n v="160.16"/>
    <x v="1"/>
    <x v="3"/>
    <x v="93"/>
  </r>
  <r>
    <n v="198"/>
    <s v="Customer_198"/>
    <s v="ORD-14608"/>
    <x v="82"/>
    <x v="11"/>
    <x v="1"/>
    <n v="2"/>
    <n v="497.01"/>
    <x v="0"/>
    <x v="0"/>
    <x v="94"/>
  </r>
  <r>
    <n v="199"/>
    <s v="Customer_199"/>
    <s v="ORD-82922"/>
    <x v="83"/>
    <x v="0"/>
    <x v="0"/>
    <n v="5"/>
    <n v="372.28"/>
    <x v="3"/>
    <x v="0"/>
    <x v="9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95630B9-CB7D-47CE-8CD8-0530F24B61D8}"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location ref="K3:L16" firstHeaderRow="1" firstDataRow="1" firstDataCol="1"/>
  <pivotFields count="13">
    <pivotField showAll="0"/>
    <pivotField showAll="0"/>
    <pivotField dataField="1" showAll="0"/>
    <pivotField numFmtId="14" showAll="0">
      <items count="85">
        <item x="14"/>
        <item x="56"/>
        <item x="27"/>
        <item x="63"/>
        <item x="75"/>
        <item x="5"/>
        <item x="0"/>
        <item x="45"/>
        <item x="50"/>
        <item x="32"/>
        <item x="62"/>
        <item x="54"/>
        <item x="19"/>
        <item x="2"/>
        <item x="70"/>
        <item x="7"/>
        <item x="15"/>
        <item x="83"/>
        <item x="40"/>
        <item x="6"/>
        <item x="24"/>
        <item x="79"/>
        <item x="17"/>
        <item x="38"/>
        <item x="73"/>
        <item x="49"/>
        <item x="35"/>
        <item x="65"/>
        <item x="37"/>
        <item x="12"/>
        <item x="72"/>
        <item x="43"/>
        <item x="3"/>
        <item x="69"/>
        <item x="31"/>
        <item x="52"/>
        <item x="42"/>
        <item x="9"/>
        <item x="26"/>
        <item x="22"/>
        <item x="25"/>
        <item x="55"/>
        <item x="18"/>
        <item x="78"/>
        <item x="30"/>
        <item x="34"/>
        <item x="20"/>
        <item x="80"/>
        <item x="28"/>
        <item x="81"/>
        <item x="44"/>
        <item x="46"/>
        <item x="57"/>
        <item x="1"/>
        <item x="77"/>
        <item x="41"/>
        <item x="39"/>
        <item x="48"/>
        <item x="76"/>
        <item x="66"/>
        <item x="13"/>
        <item x="82"/>
        <item x="53"/>
        <item x="71"/>
        <item x="58"/>
        <item x="36"/>
        <item x="60"/>
        <item x="74"/>
        <item x="29"/>
        <item x="68"/>
        <item x="67"/>
        <item x="64"/>
        <item x="47"/>
        <item x="10"/>
        <item x="61"/>
        <item x="33"/>
        <item x="23"/>
        <item x="21"/>
        <item x="4"/>
        <item x="11"/>
        <item x="8"/>
        <item x="16"/>
        <item x="59"/>
        <item x="51"/>
        <item t="default"/>
      </items>
    </pivotField>
    <pivotField showAll="0"/>
    <pivotField showAll="0">
      <items count="6">
        <item x="3"/>
        <item x="4"/>
        <item x="1"/>
        <item x="0"/>
        <item x="2"/>
        <item t="default"/>
      </items>
    </pivotField>
    <pivotField numFmtId="2" showAll="0"/>
    <pivotField numFmtId="164" showAll="0"/>
    <pivotField showAll="0">
      <items count="5">
        <item x="2"/>
        <item x="0"/>
        <item x="3"/>
        <item x="1"/>
        <item t="default"/>
      </items>
    </pivotField>
    <pivotField showAll="0">
      <items count="6">
        <item x="3"/>
        <item x="2"/>
        <item x="1"/>
        <item x="4"/>
        <item x="0"/>
        <item t="default"/>
      </items>
    </pivotField>
    <pivotField numFmtId="164" showAll="0"/>
    <pivotField axis="axisRow" showAll="0">
      <items count="15">
        <item h="1" x="0"/>
        <item x="1"/>
        <item x="2"/>
        <item x="3"/>
        <item x="4"/>
        <item x="5"/>
        <item x="6"/>
        <item x="7"/>
        <item x="8"/>
        <item x="9"/>
        <item x="10"/>
        <item x="11"/>
        <item x="12"/>
        <item h="1" x="13"/>
        <item t="default"/>
      </items>
    </pivotField>
    <pivotField axis="axisRow" showAll="0" sortType="ascending">
      <items count="4">
        <item h="1" x="0"/>
        <item h="1" x="2"/>
        <item x="1"/>
        <item t="default"/>
      </items>
    </pivotField>
  </pivotFields>
  <rowFields count="2">
    <field x="12"/>
    <field x="11"/>
  </rowFields>
  <rowItems count="13">
    <i>
      <x v="2"/>
    </i>
    <i r="1">
      <x v="1"/>
    </i>
    <i r="1">
      <x v="2"/>
    </i>
    <i r="1">
      <x v="3"/>
    </i>
    <i r="1">
      <x v="4"/>
    </i>
    <i r="1">
      <x v="5"/>
    </i>
    <i r="1">
      <x v="6"/>
    </i>
    <i r="1">
      <x v="7"/>
    </i>
    <i r="1">
      <x v="8"/>
    </i>
    <i r="1">
      <x v="9"/>
    </i>
    <i r="1">
      <x v="10"/>
    </i>
    <i r="1">
      <x v="11"/>
    </i>
    <i t="grand">
      <x/>
    </i>
  </rowItems>
  <colItems count="1">
    <i/>
  </colItems>
  <dataFields count="1">
    <dataField name="Count of Order_ID" fld="2" subtotal="count" baseField="0" baseItem="0"/>
  </dataFields>
  <chartFormats count="4">
    <chartFormat chart="0" format="1"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61CCC7A-2705-4DAD-B00B-17D70381A585}" name="PivotTable7"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location ref="J20:K41" firstHeaderRow="1" firstDataRow="1" firstDataCol="1" rowPageCount="1" colPageCount="1"/>
  <pivotFields count="13">
    <pivotField showAll="0"/>
    <pivotField showAll="0"/>
    <pivotField showAll="0"/>
    <pivotField numFmtId="14" showAll="0">
      <items count="85">
        <item x="14"/>
        <item x="56"/>
        <item x="27"/>
        <item x="63"/>
        <item x="75"/>
        <item x="5"/>
        <item x="0"/>
        <item x="45"/>
        <item x="50"/>
        <item x="32"/>
        <item x="62"/>
        <item x="54"/>
        <item x="19"/>
        <item x="2"/>
        <item x="70"/>
        <item x="7"/>
        <item x="15"/>
        <item x="83"/>
        <item x="40"/>
        <item x="6"/>
        <item x="24"/>
        <item x="79"/>
        <item x="17"/>
        <item x="38"/>
        <item x="73"/>
        <item x="49"/>
        <item x="35"/>
        <item x="65"/>
        <item x="37"/>
        <item x="12"/>
        <item x="72"/>
        <item x="43"/>
        <item x="3"/>
        <item x="69"/>
        <item x="31"/>
        <item x="52"/>
        <item x="42"/>
        <item x="9"/>
        <item x="26"/>
        <item x="22"/>
        <item x="25"/>
        <item x="55"/>
        <item x="18"/>
        <item x="78"/>
        <item x="30"/>
        <item x="34"/>
        <item x="20"/>
        <item x="80"/>
        <item x="28"/>
        <item x="81"/>
        <item x="44"/>
        <item x="46"/>
        <item x="57"/>
        <item x="1"/>
        <item x="77"/>
        <item x="41"/>
        <item x="39"/>
        <item x="48"/>
        <item x="76"/>
        <item x="66"/>
        <item x="13"/>
        <item x="82"/>
        <item x="53"/>
        <item x="71"/>
        <item x="58"/>
        <item x="36"/>
        <item x="60"/>
        <item x="74"/>
        <item x="29"/>
        <item x="68"/>
        <item x="67"/>
        <item x="64"/>
        <item x="47"/>
        <item x="10"/>
        <item x="61"/>
        <item x="33"/>
        <item x="23"/>
        <item x="21"/>
        <item x="4"/>
        <item x="11"/>
        <item x="8"/>
        <item x="16"/>
        <item x="59"/>
        <item x="51"/>
        <item t="default"/>
      </items>
    </pivotField>
    <pivotField axis="axisRow" showAll="0" sortType="ascending">
      <items count="21">
        <item x="5"/>
        <item x="4"/>
        <item x="0"/>
        <item x="6"/>
        <item x="8"/>
        <item x="16"/>
        <item x="15"/>
        <item x="18"/>
        <item x="19"/>
        <item x="12"/>
        <item x="17"/>
        <item x="9"/>
        <item x="3"/>
        <item x="7"/>
        <item x="1"/>
        <item x="14"/>
        <item x="2"/>
        <item x="13"/>
        <item x="11"/>
        <item x="10"/>
        <item t="default"/>
      </items>
    </pivotField>
    <pivotField axis="axisPage" showAll="0">
      <items count="6">
        <item x="3"/>
        <item x="4"/>
        <item x="1"/>
        <item x="0"/>
        <item x="2"/>
        <item t="default"/>
      </items>
    </pivotField>
    <pivotField numFmtId="2" showAll="0"/>
    <pivotField numFmtId="164" showAll="0"/>
    <pivotField showAll="0">
      <items count="5">
        <item x="2"/>
        <item x="0"/>
        <item x="3"/>
        <item x="1"/>
        <item t="default"/>
      </items>
    </pivotField>
    <pivotField showAll="0">
      <items count="6">
        <item x="3"/>
        <item x="2"/>
        <item x="1"/>
        <item x="4"/>
        <item x="0"/>
        <item t="default"/>
      </items>
    </pivotField>
    <pivotField dataField="1" numFmtId="164" showAll="0"/>
    <pivotField showAll="0" defaultSubtotal="0"/>
    <pivotField showAll="0" defaultSubtotal="0">
      <items count="3">
        <item x="0"/>
        <item x="1"/>
        <item x="2"/>
      </items>
    </pivotField>
  </pivotFields>
  <rowFields count="1">
    <field x="4"/>
  </rowFields>
  <rowItems count="21">
    <i>
      <x/>
    </i>
    <i>
      <x v="1"/>
    </i>
    <i>
      <x v="2"/>
    </i>
    <i>
      <x v="3"/>
    </i>
    <i>
      <x v="4"/>
    </i>
    <i>
      <x v="5"/>
    </i>
    <i>
      <x v="6"/>
    </i>
    <i>
      <x v="7"/>
    </i>
    <i>
      <x v="8"/>
    </i>
    <i>
      <x v="9"/>
    </i>
    <i>
      <x v="10"/>
    </i>
    <i>
      <x v="11"/>
    </i>
    <i>
      <x v="12"/>
    </i>
    <i>
      <x v="13"/>
    </i>
    <i>
      <x v="14"/>
    </i>
    <i>
      <x v="15"/>
    </i>
    <i>
      <x v="16"/>
    </i>
    <i>
      <x v="17"/>
    </i>
    <i>
      <x v="18"/>
    </i>
    <i>
      <x v="19"/>
    </i>
    <i t="grand">
      <x/>
    </i>
  </rowItems>
  <colItems count="1">
    <i/>
  </colItems>
  <pageFields count="1">
    <pageField fld="5" hier="-1"/>
  </pageFields>
  <dataFields count="1">
    <dataField name="Revenue" fld="10" baseField="4" baseItem="7"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F196201-953A-4379-B685-82C9B6B0A6C4}"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rowHeaderCaption="Methods">
  <location ref="R3:T8" firstHeaderRow="0" firstDataRow="1" firstDataCol="1"/>
  <pivotFields count="13">
    <pivotField showAll="0"/>
    <pivotField showAll="0"/>
    <pivotField dataField="1" showAll="0"/>
    <pivotField numFmtId="14" showAll="0">
      <items count="85">
        <item x="14"/>
        <item x="56"/>
        <item x="27"/>
        <item x="63"/>
        <item x="75"/>
        <item x="5"/>
        <item x="0"/>
        <item x="45"/>
        <item x="50"/>
        <item x="32"/>
        <item x="62"/>
        <item x="54"/>
        <item x="19"/>
        <item x="2"/>
        <item x="70"/>
        <item x="7"/>
        <item x="15"/>
        <item x="83"/>
        <item x="40"/>
        <item x="6"/>
        <item x="24"/>
        <item x="79"/>
        <item x="17"/>
        <item x="38"/>
        <item x="73"/>
        <item x="49"/>
        <item x="35"/>
        <item x="65"/>
        <item x="37"/>
        <item x="12"/>
        <item x="72"/>
        <item x="43"/>
        <item x="3"/>
        <item x="69"/>
        <item x="31"/>
        <item x="52"/>
        <item x="42"/>
        <item x="9"/>
        <item x="26"/>
        <item x="22"/>
        <item x="25"/>
        <item x="55"/>
        <item x="18"/>
        <item x="78"/>
        <item x="30"/>
        <item x="34"/>
        <item x="20"/>
        <item x="80"/>
        <item x="28"/>
        <item x="81"/>
        <item x="44"/>
        <item x="46"/>
        <item x="57"/>
        <item x="1"/>
        <item x="77"/>
        <item x="41"/>
        <item x="39"/>
        <item x="48"/>
        <item x="76"/>
        <item x="66"/>
        <item x="13"/>
        <item x="82"/>
        <item x="53"/>
        <item x="71"/>
        <item x="58"/>
        <item x="36"/>
        <item x="60"/>
        <item x="74"/>
        <item x="29"/>
        <item x="68"/>
        <item x="67"/>
        <item x="64"/>
        <item x="47"/>
        <item x="10"/>
        <item x="61"/>
        <item x="33"/>
        <item x="23"/>
        <item x="21"/>
        <item x="4"/>
        <item x="11"/>
        <item x="8"/>
        <item x="16"/>
        <item x="59"/>
        <item x="51"/>
        <item t="default"/>
      </items>
    </pivotField>
    <pivotField showAll="0"/>
    <pivotField showAll="0">
      <items count="6">
        <item x="3"/>
        <item x="4"/>
        <item x="1"/>
        <item x="0"/>
        <item x="2"/>
        <item t="default"/>
      </items>
    </pivotField>
    <pivotField numFmtId="2" showAll="0"/>
    <pivotField numFmtId="164" showAll="0"/>
    <pivotField axis="axisRow" showAll="0">
      <items count="5">
        <item x="2"/>
        <item x="0"/>
        <item x="3"/>
        <item x="1"/>
        <item t="default"/>
      </items>
    </pivotField>
    <pivotField showAll="0">
      <items count="6">
        <item x="3"/>
        <item x="2"/>
        <item x="1"/>
        <item x="4"/>
        <item x="0"/>
        <item t="default"/>
      </items>
    </pivotField>
    <pivotField dataField="1" numFmtId="164" showAll="0"/>
    <pivotField showAll="0" defaultSubtotal="0"/>
    <pivotField showAll="0" defaultSubtotal="0">
      <items count="3">
        <item x="0"/>
        <item x="1"/>
        <item x="2"/>
      </items>
    </pivotField>
  </pivotFields>
  <rowFields count="1">
    <field x="8"/>
  </rowFields>
  <rowItems count="5">
    <i>
      <x/>
    </i>
    <i>
      <x v="1"/>
    </i>
    <i>
      <x v="2"/>
    </i>
    <i>
      <x v="3"/>
    </i>
    <i t="grand">
      <x/>
    </i>
  </rowItems>
  <colFields count="1">
    <field x="-2"/>
  </colFields>
  <colItems count="2">
    <i>
      <x/>
    </i>
    <i i="1">
      <x v="1"/>
    </i>
  </colItems>
  <dataFields count="2">
    <dataField name="Revenue" fld="10" baseField="8" baseItem="0" numFmtId="164"/>
    <dataField name="Count" fld="2" subtotal="count" baseField="8" baseItem="0"/>
  </dataFields>
  <chartFormats count="2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8" count="1" selected="0">
            <x v="0"/>
          </reference>
        </references>
      </pivotArea>
    </chartFormat>
    <chartFormat chart="0" format="3">
      <pivotArea type="data" outline="0" fieldPosition="0">
        <references count="2">
          <reference field="4294967294" count="1" selected="0">
            <x v="0"/>
          </reference>
          <reference field="8" count="1" selected="0">
            <x v="1"/>
          </reference>
        </references>
      </pivotArea>
    </chartFormat>
    <chartFormat chart="0" format="4">
      <pivotArea type="data" outline="0" fieldPosition="0">
        <references count="2">
          <reference field="4294967294" count="1" selected="0">
            <x v="0"/>
          </reference>
          <reference field="8" count="1" selected="0">
            <x v="2"/>
          </reference>
        </references>
      </pivotArea>
    </chartFormat>
    <chartFormat chart="0" format="5">
      <pivotArea type="data" outline="0" fieldPosition="0">
        <references count="2">
          <reference field="4294967294" count="1" selected="0">
            <x v="0"/>
          </reference>
          <reference field="8" count="1" selected="0">
            <x v="3"/>
          </reference>
        </references>
      </pivotArea>
    </chartFormat>
    <chartFormat chart="0" format="6">
      <pivotArea type="data" outline="0" fieldPosition="0">
        <references count="2">
          <reference field="4294967294" count="1" selected="0">
            <x v="1"/>
          </reference>
          <reference field="8" count="1" selected="0">
            <x v="0"/>
          </reference>
        </references>
      </pivotArea>
    </chartFormat>
    <chartFormat chart="0" format="7">
      <pivotArea type="data" outline="0" fieldPosition="0">
        <references count="2">
          <reference field="4294967294" count="1" selected="0">
            <x v="1"/>
          </reference>
          <reference field="8" count="1" selected="0">
            <x v="1"/>
          </reference>
        </references>
      </pivotArea>
    </chartFormat>
    <chartFormat chart="0" format="8">
      <pivotArea type="data" outline="0" fieldPosition="0">
        <references count="2">
          <reference field="4294967294" count="1" selected="0">
            <x v="1"/>
          </reference>
          <reference field="8" count="1" selected="0">
            <x v="2"/>
          </reference>
        </references>
      </pivotArea>
    </chartFormat>
    <chartFormat chart="0" format="9">
      <pivotArea type="data" outline="0" fieldPosition="0">
        <references count="2">
          <reference field="4294967294" count="1" selected="0">
            <x v="1"/>
          </reference>
          <reference field="8" count="1" selected="0">
            <x v="3"/>
          </reference>
        </references>
      </pivotArea>
    </chartFormat>
    <chartFormat chart="4" format="20" series="1">
      <pivotArea type="data" outline="0" fieldPosition="0">
        <references count="1">
          <reference field="4294967294" count="1" selected="0">
            <x v="0"/>
          </reference>
        </references>
      </pivotArea>
    </chartFormat>
    <chartFormat chart="4" format="21">
      <pivotArea type="data" outline="0" fieldPosition="0">
        <references count="2">
          <reference field="4294967294" count="1" selected="0">
            <x v="0"/>
          </reference>
          <reference field="8" count="1" selected="0">
            <x v="0"/>
          </reference>
        </references>
      </pivotArea>
    </chartFormat>
    <chartFormat chart="4" format="22">
      <pivotArea type="data" outline="0" fieldPosition="0">
        <references count="2">
          <reference field="4294967294" count="1" selected="0">
            <x v="0"/>
          </reference>
          <reference field="8" count="1" selected="0">
            <x v="1"/>
          </reference>
        </references>
      </pivotArea>
    </chartFormat>
    <chartFormat chart="4" format="23">
      <pivotArea type="data" outline="0" fieldPosition="0">
        <references count="2">
          <reference field="4294967294" count="1" selected="0">
            <x v="0"/>
          </reference>
          <reference field="8" count="1" selected="0">
            <x v="2"/>
          </reference>
        </references>
      </pivotArea>
    </chartFormat>
    <chartFormat chart="4" format="24">
      <pivotArea type="data" outline="0" fieldPosition="0">
        <references count="2">
          <reference field="4294967294" count="1" selected="0">
            <x v="0"/>
          </reference>
          <reference field="8" count="1" selected="0">
            <x v="3"/>
          </reference>
        </references>
      </pivotArea>
    </chartFormat>
    <chartFormat chart="4" format="25" series="1">
      <pivotArea type="data" outline="0" fieldPosition="0">
        <references count="1">
          <reference field="4294967294" count="1" selected="0">
            <x v="1"/>
          </reference>
        </references>
      </pivotArea>
    </chartFormat>
    <chartFormat chart="4" format="26">
      <pivotArea type="data" outline="0" fieldPosition="0">
        <references count="2">
          <reference field="4294967294" count="1" selected="0">
            <x v="1"/>
          </reference>
          <reference field="8" count="1" selected="0">
            <x v="0"/>
          </reference>
        </references>
      </pivotArea>
    </chartFormat>
    <chartFormat chart="4" format="27">
      <pivotArea type="data" outline="0" fieldPosition="0">
        <references count="2">
          <reference field="4294967294" count="1" selected="0">
            <x v="1"/>
          </reference>
          <reference field="8" count="1" selected="0">
            <x v="1"/>
          </reference>
        </references>
      </pivotArea>
    </chartFormat>
    <chartFormat chart="4" format="28">
      <pivotArea type="data" outline="0" fieldPosition="0">
        <references count="2">
          <reference field="4294967294" count="1" selected="0">
            <x v="1"/>
          </reference>
          <reference field="8" count="1" selected="0">
            <x v="2"/>
          </reference>
        </references>
      </pivotArea>
    </chartFormat>
    <chartFormat chart="4" format="29">
      <pivotArea type="data" outline="0" fieldPosition="0">
        <references count="2">
          <reference field="4294967294" count="1" selected="0">
            <x v="1"/>
          </reference>
          <reference field="8" count="1" selected="0">
            <x v="3"/>
          </reference>
        </references>
      </pivotArea>
    </chartFormat>
    <chartFormat chart="0" format="10">
      <pivotArea type="data" outline="0" fieldPosition="0">
        <references count="1">
          <reference field="4294967294" count="1" selected="0">
            <x v="0"/>
          </reference>
        </references>
      </pivotArea>
    </chartFormat>
    <chartFormat chart="0" format="1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795CCC4-8AA4-4549-B22D-F5166C7A1425}"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1" rowHeaderCaption="Category ">
  <location ref="A3:B9" firstHeaderRow="1" firstDataRow="1" firstDataCol="1"/>
  <pivotFields count="13">
    <pivotField showAll="0"/>
    <pivotField showAll="0"/>
    <pivotField dataField="1" showAll="0"/>
    <pivotField numFmtId="14" showAll="0">
      <items count="85">
        <item x="14"/>
        <item x="56"/>
        <item x="27"/>
        <item x="63"/>
        <item x="75"/>
        <item x="5"/>
        <item x="0"/>
        <item x="45"/>
        <item x="50"/>
        <item x="32"/>
        <item x="62"/>
        <item x="54"/>
        <item x="19"/>
        <item x="2"/>
        <item x="70"/>
        <item x="7"/>
        <item x="15"/>
        <item x="83"/>
        <item x="40"/>
        <item x="6"/>
        <item x="24"/>
        <item x="79"/>
        <item x="17"/>
        <item x="38"/>
        <item x="73"/>
        <item x="49"/>
        <item x="35"/>
        <item x="65"/>
        <item x="37"/>
        <item x="12"/>
        <item x="72"/>
        <item x="43"/>
        <item x="3"/>
        <item x="69"/>
        <item x="31"/>
        <item x="52"/>
        <item x="42"/>
        <item x="9"/>
        <item x="26"/>
        <item x="22"/>
        <item x="25"/>
        <item x="55"/>
        <item x="18"/>
        <item x="78"/>
        <item x="30"/>
        <item x="34"/>
        <item x="20"/>
        <item x="80"/>
        <item x="28"/>
        <item x="81"/>
        <item x="44"/>
        <item x="46"/>
        <item x="57"/>
        <item x="1"/>
        <item x="77"/>
        <item x="41"/>
        <item x="39"/>
        <item x="48"/>
        <item x="76"/>
        <item x="66"/>
        <item x="13"/>
        <item x="82"/>
        <item x="53"/>
        <item x="71"/>
        <item x="58"/>
        <item x="36"/>
        <item x="60"/>
        <item x="74"/>
        <item x="29"/>
        <item x="68"/>
        <item x="67"/>
        <item x="64"/>
        <item x="47"/>
        <item x="10"/>
        <item x="61"/>
        <item x="33"/>
        <item x="23"/>
        <item x="21"/>
        <item x="4"/>
        <item x="11"/>
        <item x="8"/>
        <item x="16"/>
        <item x="59"/>
        <item x="51"/>
        <item t="default"/>
      </items>
    </pivotField>
    <pivotField showAll="0"/>
    <pivotField axis="axisRow" showAll="0" sortType="ascending">
      <items count="6">
        <item x="3"/>
        <item x="4"/>
        <item x="1"/>
        <item x="0"/>
        <item x="2"/>
        <item t="default"/>
      </items>
    </pivotField>
    <pivotField numFmtId="2" showAll="0"/>
    <pivotField numFmtId="164" showAll="0"/>
    <pivotField showAll="0">
      <items count="5">
        <item x="2"/>
        <item x="0"/>
        <item x="3"/>
        <item x="1"/>
        <item t="default"/>
      </items>
    </pivotField>
    <pivotField showAll="0">
      <items count="6">
        <item x="3"/>
        <item x="2"/>
        <item x="1"/>
        <item x="4"/>
        <item x="0"/>
        <item t="default"/>
      </items>
    </pivotField>
    <pivotField numFmtId="164" showAll="0">
      <items count="97">
        <item x="53"/>
        <item x="74"/>
        <item x="72"/>
        <item x="0"/>
        <item x="93"/>
        <item x="48"/>
        <item x="78"/>
        <item x="30"/>
        <item x="65"/>
        <item x="59"/>
        <item x="82"/>
        <item x="5"/>
        <item x="2"/>
        <item x="80"/>
        <item x="13"/>
        <item x="56"/>
        <item x="36"/>
        <item x="4"/>
        <item x="66"/>
        <item x="8"/>
        <item x="88"/>
        <item x="46"/>
        <item x="34"/>
        <item x="50"/>
        <item x="60"/>
        <item x="71"/>
        <item x="85"/>
        <item x="14"/>
        <item x="77"/>
        <item x="58"/>
        <item x="9"/>
        <item x="62"/>
        <item x="49"/>
        <item x="86"/>
        <item x="55"/>
        <item x="94"/>
        <item x="54"/>
        <item x="22"/>
        <item x="51"/>
        <item x="63"/>
        <item x="3"/>
        <item x="57"/>
        <item x="18"/>
        <item x="1"/>
        <item x="37"/>
        <item x="44"/>
        <item x="75"/>
        <item x="81"/>
        <item x="20"/>
        <item x="15"/>
        <item x="89"/>
        <item x="39"/>
        <item x="26"/>
        <item x="31"/>
        <item x="43"/>
        <item x="11"/>
        <item x="19"/>
        <item x="70"/>
        <item x="87"/>
        <item x="33"/>
        <item x="61"/>
        <item x="64"/>
        <item x="23"/>
        <item x="95"/>
        <item x="35"/>
        <item x="69"/>
        <item x="92"/>
        <item x="68"/>
        <item x="21"/>
        <item x="79"/>
        <item x="38"/>
        <item x="45"/>
        <item x="16"/>
        <item x="84"/>
        <item x="76"/>
        <item x="83"/>
        <item x="73"/>
        <item x="27"/>
        <item x="7"/>
        <item x="28"/>
        <item x="32"/>
        <item x="12"/>
        <item x="6"/>
        <item x="24"/>
        <item x="29"/>
        <item x="10"/>
        <item x="40"/>
        <item x="25"/>
        <item x="67"/>
        <item x="52"/>
        <item x="91"/>
        <item x="41"/>
        <item x="42"/>
        <item x="47"/>
        <item x="90"/>
        <item x="17"/>
        <item t="default"/>
      </items>
    </pivotField>
    <pivotField showAll="0">
      <items count="15">
        <item x="0"/>
        <item x="1"/>
        <item x="2"/>
        <item x="3"/>
        <item x="4"/>
        <item x="5"/>
        <item x="6"/>
        <item x="7"/>
        <item x="8"/>
        <item x="9"/>
        <item x="10"/>
        <item x="11"/>
        <item x="12"/>
        <item x="13"/>
        <item t="default"/>
      </items>
    </pivotField>
    <pivotField showAll="0">
      <items count="4">
        <item x="0"/>
        <item x="1"/>
        <item x="2"/>
        <item t="default"/>
      </items>
    </pivotField>
  </pivotFields>
  <rowFields count="1">
    <field x="5"/>
  </rowFields>
  <rowItems count="6">
    <i>
      <x/>
    </i>
    <i>
      <x v="1"/>
    </i>
    <i>
      <x v="2"/>
    </i>
    <i>
      <x v="3"/>
    </i>
    <i>
      <x v="4"/>
    </i>
    <i t="grand">
      <x/>
    </i>
  </rowItems>
  <colItems count="1">
    <i/>
  </colItems>
  <dataFields count="1">
    <dataField name="Count of Order_ID" fld="2" subtotal="count" baseField="0" baseItem="0"/>
  </dataFields>
  <chartFormats count="3">
    <chartFormat chart="0" format="1"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0"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91044D-EAAD-46AC-AE07-2A2981E599C7}"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rowHeaderCaption="Status">
  <location ref="G2:H8" firstHeaderRow="1" firstDataRow="1" firstDataCol="1"/>
  <pivotFields count="13">
    <pivotField showAll="0"/>
    <pivotField showAll="0"/>
    <pivotField showAll="0"/>
    <pivotField numFmtId="14" showAll="0">
      <items count="85">
        <item x="14"/>
        <item x="56"/>
        <item x="27"/>
        <item x="63"/>
        <item x="75"/>
        <item x="5"/>
        <item x="0"/>
        <item x="45"/>
        <item x="50"/>
        <item x="32"/>
        <item x="62"/>
        <item x="54"/>
        <item x="19"/>
        <item x="2"/>
        <item x="70"/>
        <item x="7"/>
        <item x="15"/>
        <item x="83"/>
        <item x="40"/>
        <item x="6"/>
        <item x="24"/>
        <item x="79"/>
        <item x="17"/>
        <item x="38"/>
        <item x="73"/>
        <item x="49"/>
        <item x="35"/>
        <item x="65"/>
        <item x="37"/>
        <item x="12"/>
        <item x="72"/>
        <item x="43"/>
        <item x="3"/>
        <item x="69"/>
        <item x="31"/>
        <item x="52"/>
        <item x="42"/>
        <item x="9"/>
        <item x="26"/>
        <item x="22"/>
        <item x="25"/>
        <item x="55"/>
        <item x="18"/>
        <item x="78"/>
        <item x="30"/>
        <item x="34"/>
        <item x="20"/>
        <item x="80"/>
        <item x="28"/>
        <item x="81"/>
        <item x="44"/>
        <item x="46"/>
        <item x="57"/>
        <item x="1"/>
        <item x="77"/>
        <item x="41"/>
        <item x="39"/>
        <item x="48"/>
        <item x="76"/>
        <item x="66"/>
        <item x="13"/>
        <item x="82"/>
        <item x="53"/>
        <item x="71"/>
        <item x="58"/>
        <item x="36"/>
        <item x="60"/>
        <item x="74"/>
        <item x="29"/>
        <item x="68"/>
        <item x="67"/>
        <item x="64"/>
        <item x="47"/>
        <item x="10"/>
        <item x="61"/>
        <item x="33"/>
        <item x="23"/>
        <item x="21"/>
        <item x="4"/>
        <item x="11"/>
        <item x="8"/>
        <item x="16"/>
        <item x="59"/>
        <item x="51"/>
        <item t="default"/>
      </items>
    </pivotField>
    <pivotField showAll="0"/>
    <pivotField showAll="0">
      <items count="6">
        <item x="3"/>
        <item x="4"/>
        <item x="1"/>
        <item x="0"/>
        <item x="2"/>
        <item t="default"/>
      </items>
    </pivotField>
    <pivotField numFmtId="2" showAll="0"/>
    <pivotField numFmtId="164" showAll="0"/>
    <pivotField showAll="0">
      <items count="5">
        <item x="2"/>
        <item x="0"/>
        <item x="3"/>
        <item x="1"/>
        <item t="default"/>
      </items>
    </pivotField>
    <pivotField axis="axisRow" showAll="0" sortType="ascending">
      <items count="6">
        <item x="3"/>
        <item x="2"/>
        <item x="1"/>
        <item x="4"/>
        <item x="0"/>
        <item t="default"/>
      </items>
    </pivotField>
    <pivotField dataField="1" numFmtId="164" showAll="0"/>
    <pivotField showAll="0">
      <items count="15">
        <item x="0"/>
        <item x="1"/>
        <item x="2"/>
        <item x="3"/>
        <item x="4"/>
        <item x="5"/>
        <item x="6"/>
        <item x="7"/>
        <item x="8"/>
        <item x="9"/>
        <item x="10"/>
        <item x="11"/>
        <item x="12"/>
        <item x="13"/>
        <item t="default"/>
      </items>
    </pivotField>
    <pivotField showAll="0">
      <items count="4">
        <item x="0"/>
        <item x="1"/>
        <item x="2"/>
        <item t="default"/>
      </items>
    </pivotField>
  </pivotFields>
  <rowFields count="1">
    <field x="9"/>
  </rowFields>
  <rowItems count="6">
    <i>
      <x/>
    </i>
    <i>
      <x v="1"/>
    </i>
    <i>
      <x v="2"/>
    </i>
    <i>
      <x v="3"/>
    </i>
    <i>
      <x v="4"/>
    </i>
    <i t="grand">
      <x/>
    </i>
  </rowItems>
  <colItems count="1">
    <i/>
  </colItems>
  <dataFields count="1">
    <dataField name="Revenue" fld="10" baseField="9" baseItem="0" numFmtId="164"/>
  </dataFields>
  <chartFormats count="19">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0"/>
          </reference>
        </references>
      </pivotArea>
    </chartFormat>
    <chartFormat chart="0" format="2">
      <pivotArea type="data" outline="0" fieldPosition="0">
        <references count="2">
          <reference field="4294967294" count="1" selected="0">
            <x v="0"/>
          </reference>
          <reference field="9" count="1" selected="0">
            <x v="1"/>
          </reference>
        </references>
      </pivotArea>
    </chartFormat>
    <chartFormat chart="0" format="3">
      <pivotArea type="data" outline="0" fieldPosition="0">
        <references count="2">
          <reference field="4294967294" count="1" selected="0">
            <x v="0"/>
          </reference>
          <reference field="9" count="1" selected="0">
            <x v="2"/>
          </reference>
        </references>
      </pivotArea>
    </chartFormat>
    <chartFormat chart="0" format="4">
      <pivotArea type="data" outline="0" fieldPosition="0">
        <references count="2">
          <reference field="4294967294" count="1" selected="0">
            <x v="0"/>
          </reference>
          <reference field="9" count="1" selected="0">
            <x v="3"/>
          </reference>
        </references>
      </pivotArea>
    </chartFormat>
    <chartFormat chart="0" format="5">
      <pivotArea type="data" outline="0" fieldPosition="0">
        <references count="2">
          <reference field="4294967294" count="1" selected="0">
            <x v="0"/>
          </reference>
          <reference field="9" count="1" selected="0">
            <x v="4"/>
          </reference>
        </references>
      </pivotArea>
    </chartFormat>
    <chartFormat chart="7" format="6" series="1">
      <pivotArea type="data" outline="0" fieldPosition="0">
        <references count="1">
          <reference field="4294967294" count="1" selected="0">
            <x v="0"/>
          </reference>
        </references>
      </pivotArea>
    </chartFormat>
    <chartFormat chart="7" format="7">
      <pivotArea type="data" outline="0" fieldPosition="0">
        <references count="2">
          <reference field="4294967294" count="1" selected="0">
            <x v="0"/>
          </reference>
          <reference field="9" count="1" selected="0">
            <x v="0"/>
          </reference>
        </references>
      </pivotArea>
    </chartFormat>
    <chartFormat chart="7" format="8">
      <pivotArea type="data" outline="0" fieldPosition="0">
        <references count="2">
          <reference field="4294967294" count="1" selected="0">
            <x v="0"/>
          </reference>
          <reference field="9" count="1" selected="0">
            <x v="1"/>
          </reference>
        </references>
      </pivotArea>
    </chartFormat>
    <chartFormat chart="7" format="9">
      <pivotArea type="data" outline="0" fieldPosition="0">
        <references count="2">
          <reference field="4294967294" count="1" selected="0">
            <x v="0"/>
          </reference>
          <reference field="9" count="1" selected="0">
            <x v="2"/>
          </reference>
        </references>
      </pivotArea>
    </chartFormat>
    <chartFormat chart="7" format="10">
      <pivotArea type="data" outline="0" fieldPosition="0">
        <references count="2">
          <reference field="4294967294" count="1" selected="0">
            <x v="0"/>
          </reference>
          <reference field="9" count="1" selected="0">
            <x v="3"/>
          </reference>
        </references>
      </pivotArea>
    </chartFormat>
    <chartFormat chart="7" format="11">
      <pivotArea type="data" outline="0" fieldPosition="0">
        <references count="2">
          <reference field="4294967294" count="1" selected="0">
            <x v="0"/>
          </reference>
          <reference field="9" count="1" selected="0">
            <x v="4"/>
          </reference>
        </references>
      </pivotArea>
    </chartFormat>
    <chartFormat chart="8" format="12" series="1">
      <pivotArea type="data" outline="0" fieldPosition="0">
        <references count="1">
          <reference field="4294967294" count="1" selected="0">
            <x v="0"/>
          </reference>
        </references>
      </pivotArea>
    </chartFormat>
    <chartFormat chart="8" format="13">
      <pivotArea type="data" outline="0" fieldPosition="0">
        <references count="2">
          <reference field="4294967294" count="1" selected="0">
            <x v="0"/>
          </reference>
          <reference field="9" count="1" selected="0">
            <x v="0"/>
          </reference>
        </references>
      </pivotArea>
    </chartFormat>
    <chartFormat chart="8" format="14">
      <pivotArea type="data" outline="0" fieldPosition="0">
        <references count="2">
          <reference field="4294967294" count="1" selected="0">
            <x v="0"/>
          </reference>
          <reference field="9" count="1" selected="0">
            <x v="1"/>
          </reference>
        </references>
      </pivotArea>
    </chartFormat>
    <chartFormat chart="8" format="15">
      <pivotArea type="data" outline="0" fieldPosition="0">
        <references count="2">
          <reference field="4294967294" count="1" selected="0">
            <x v="0"/>
          </reference>
          <reference field="9" count="1" selected="0">
            <x v="2"/>
          </reference>
        </references>
      </pivotArea>
    </chartFormat>
    <chartFormat chart="8" format="16">
      <pivotArea type="data" outline="0" fieldPosition="0">
        <references count="2">
          <reference field="4294967294" count="1" selected="0">
            <x v="0"/>
          </reference>
          <reference field="9" count="1" selected="0">
            <x v="3"/>
          </reference>
        </references>
      </pivotArea>
    </chartFormat>
    <chartFormat chart="8" format="17">
      <pivotArea type="data" outline="0" fieldPosition="0">
        <references count="2">
          <reference field="4294967294" count="1" selected="0">
            <x v="0"/>
          </reference>
          <reference field="9" count="1" selected="0">
            <x v="4"/>
          </reference>
        </references>
      </pivotArea>
    </chartFormat>
    <chartFormat chart="0" format="6">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8D5B779-EA90-4086-9132-1E8B0041658A}" name="PivotTable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Category ">
  <location ref="B20:H27" firstHeaderRow="1" firstDataRow="2" firstDataCol="1"/>
  <pivotFields count="13">
    <pivotField showAll="0"/>
    <pivotField showAll="0"/>
    <pivotField showAll="0"/>
    <pivotField numFmtId="14" showAll="0">
      <items count="85">
        <item x="14"/>
        <item x="56"/>
        <item x="27"/>
        <item x="63"/>
        <item x="75"/>
        <item x="5"/>
        <item x="0"/>
        <item x="45"/>
        <item x="50"/>
        <item x="32"/>
        <item x="62"/>
        <item x="54"/>
        <item x="19"/>
        <item x="2"/>
        <item x="70"/>
        <item x="7"/>
        <item x="15"/>
        <item x="83"/>
        <item x="40"/>
        <item x="6"/>
        <item x="24"/>
        <item x="79"/>
        <item x="17"/>
        <item x="38"/>
        <item x="73"/>
        <item x="49"/>
        <item x="35"/>
        <item x="65"/>
        <item x="37"/>
        <item x="12"/>
        <item x="72"/>
        <item x="43"/>
        <item x="3"/>
        <item x="69"/>
        <item x="31"/>
        <item x="52"/>
        <item x="42"/>
        <item x="9"/>
        <item x="26"/>
        <item x="22"/>
        <item x="25"/>
        <item x="55"/>
        <item x="18"/>
        <item x="78"/>
        <item x="30"/>
        <item x="34"/>
        <item x="20"/>
        <item x="80"/>
        <item x="28"/>
        <item x="81"/>
        <item x="44"/>
        <item x="46"/>
        <item x="57"/>
        <item x="1"/>
        <item x="77"/>
        <item x="41"/>
        <item x="39"/>
        <item x="48"/>
        <item x="76"/>
        <item x="66"/>
        <item x="13"/>
        <item x="82"/>
        <item x="53"/>
        <item x="71"/>
        <item x="58"/>
        <item x="36"/>
        <item x="60"/>
        <item x="74"/>
        <item x="29"/>
        <item x="68"/>
        <item x="67"/>
        <item x="64"/>
        <item x="47"/>
        <item x="10"/>
        <item x="61"/>
        <item x="33"/>
        <item x="23"/>
        <item x="21"/>
        <item x="4"/>
        <item x="11"/>
        <item x="8"/>
        <item x="16"/>
        <item x="59"/>
        <item x="51"/>
        <item t="default"/>
      </items>
    </pivotField>
    <pivotField showAll="0"/>
    <pivotField axis="axisRow" showAll="0">
      <items count="6">
        <item x="3"/>
        <item x="4"/>
        <item x="1"/>
        <item x="0"/>
        <item x="2"/>
        <item t="default"/>
      </items>
    </pivotField>
    <pivotField numFmtId="2" showAll="0"/>
    <pivotField numFmtId="164" showAll="0"/>
    <pivotField showAll="0">
      <items count="5">
        <item x="2"/>
        <item x="0"/>
        <item x="3"/>
        <item x="1"/>
        <item t="default"/>
      </items>
    </pivotField>
    <pivotField axis="axisCol" showAll="0">
      <items count="6">
        <item x="3"/>
        <item x="2"/>
        <item x="1"/>
        <item x="4"/>
        <item x="0"/>
        <item t="default"/>
      </items>
    </pivotField>
    <pivotField dataField="1" numFmtId="164" showAll="0"/>
    <pivotField showAll="0" defaultSubtotal="0"/>
    <pivotField showAll="0" defaultSubtotal="0">
      <items count="3">
        <item x="0"/>
        <item x="1"/>
        <item x="2"/>
      </items>
    </pivotField>
  </pivotFields>
  <rowFields count="1">
    <field x="5"/>
  </rowFields>
  <rowItems count="6">
    <i>
      <x/>
    </i>
    <i>
      <x v="1"/>
    </i>
    <i>
      <x v="2"/>
    </i>
    <i>
      <x v="3"/>
    </i>
    <i>
      <x v="4"/>
    </i>
    <i t="grand">
      <x/>
    </i>
  </rowItems>
  <colFields count="1">
    <field x="9"/>
  </colFields>
  <colItems count="6">
    <i>
      <x/>
    </i>
    <i>
      <x v="1"/>
    </i>
    <i>
      <x v="2"/>
    </i>
    <i>
      <x v="3"/>
    </i>
    <i>
      <x v="4"/>
    </i>
    <i t="grand">
      <x/>
    </i>
  </colItems>
  <dataFields count="1">
    <dataField name="Sum of Total" fld="10" baseField="0" baseItem="0" numFmtId="164"/>
  </dataFields>
  <chartFormats count="12">
    <chartFormat chart="0" format="0" series="1">
      <pivotArea type="data" outline="0" fieldPosition="0">
        <references count="2">
          <reference field="4294967294" count="1" selected="0">
            <x v="0"/>
          </reference>
          <reference field="9" count="1" selected="0">
            <x v="0"/>
          </reference>
        </references>
      </pivotArea>
    </chartFormat>
    <chartFormat chart="0" format="1" series="1">
      <pivotArea type="data" outline="0" fieldPosition="0">
        <references count="2">
          <reference field="4294967294" count="1" selected="0">
            <x v="0"/>
          </reference>
          <reference field="9" count="1" selected="0">
            <x v="1"/>
          </reference>
        </references>
      </pivotArea>
    </chartFormat>
    <chartFormat chart="0" format="2" series="1">
      <pivotArea type="data" outline="0" fieldPosition="0">
        <references count="2">
          <reference field="4294967294" count="1" selected="0">
            <x v="0"/>
          </reference>
          <reference field="9" count="1" selected="0">
            <x v="2"/>
          </reference>
        </references>
      </pivotArea>
    </chartFormat>
    <chartFormat chart="0" format="3" series="1">
      <pivotArea type="data" outline="0" fieldPosition="0">
        <references count="2">
          <reference field="4294967294" count="1" selected="0">
            <x v="0"/>
          </reference>
          <reference field="9" count="1" selected="0">
            <x v="3"/>
          </reference>
        </references>
      </pivotArea>
    </chartFormat>
    <chartFormat chart="0" format="4" series="1">
      <pivotArea type="data" outline="0" fieldPosition="0">
        <references count="2">
          <reference field="4294967294" count="1" selected="0">
            <x v="0"/>
          </reference>
          <reference field="9" count="1" selected="0">
            <x v="4"/>
          </reference>
        </references>
      </pivotArea>
    </chartFormat>
    <chartFormat chart="2" format="10" series="1">
      <pivotArea type="data" outline="0" fieldPosition="0">
        <references count="2">
          <reference field="4294967294" count="1" selected="0">
            <x v="0"/>
          </reference>
          <reference field="9" count="1" selected="0">
            <x v="0"/>
          </reference>
        </references>
      </pivotArea>
    </chartFormat>
    <chartFormat chart="2" format="11" series="1">
      <pivotArea type="data" outline="0" fieldPosition="0">
        <references count="2">
          <reference field="4294967294" count="1" selected="0">
            <x v="0"/>
          </reference>
          <reference field="9" count="1" selected="0">
            <x v="1"/>
          </reference>
        </references>
      </pivotArea>
    </chartFormat>
    <chartFormat chart="2" format="12" series="1">
      <pivotArea type="data" outline="0" fieldPosition="0">
        <references count="2">
          <reference field="4294967294" count="1" selected="0">
            <x v="0"/>
          </reference>
          <reference field="9" count="1" selected="0">
            <x v="2"/>
          </reference>
        </references>
      </pivotArea>
    </chartFormat>
    <chartFormat chart="2" format="13" series="1">
      <pivotArea type="data" outline="0" fieldPosition="0">
        <references count="2">
          <reference field="4294967294" count="1" selected="0">
            <x v="0"/>
          </reference>
          <reference field="9" count="1" selected="0">
            <x v="3"/>
          </reference>
        </references>
      </pivotArea>
    </chartFormat>
    <chartFormat chart="2" format="14" series="1">
      <pivotArea type="data" outline="0" fieldPosition="0">
        <references count="2">
          <reference field="4294967294" count="1" selected="0">
            <x v="0"/>
          </reference>
          <reference field="9" count="1" selected="0">
            <x v="4"/>
          </reference>
        </references>
      </pivotArea>
    </chartFormat>
    <chartFormat chart="2" format="15" series="1">
      <pivotArea type="data" outline="0" fieldPosition="0">
        <references count="1">
          <reference field="4294967294" count="1" selected="0">
            <x v="0"/>
          </reference>
        </references>
      </pivotArea>
    </chartFormat>
    <chartFormat chart="0"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850AAA-0DDD-4F85-BA72-FECB8F11E2A5}" name="PivotTable9" cacheId="0" applyNumberFormats="0" applyBorderFormats="0" applyFontFormats="0" applyPatternFormats="0" applyAlignmentFormats="0" applyWidthHeightFormats="1" dataCaption="Values" updatedVersion="8" minRefreshableVersion="5" itemPrintTitles="1" createdVersion="8" indent="0" outline="1" outlineData="1" multipleFieldFilters="0" chartFormat="5">
  <location ref="D3:E9" firstHeaderRow="1" firstDataRow="1" firstDataCol="1"/>
  <pivotFields count="13">
    <pivotField showAll="0"/>
    <pivotField showAll="0"/>
    <pivotField showAll="0"/>
    <pivotField numFmtId="14" showAll="0">
      <items count="85">
        <item x="14"/>
        <item x="56"/>
        <item x="27"/>
        <item x="63"/>
        <item x="75"/>
        <item x="5"/>
        <item x="0"/>
        <item x="45"/>
        <item x="50"/>
        <item x="32"/>
        <item x="62"/>
        <item x="54"/>
        <item x="19"/>
        <item x="2"/>
        <item x="70"/>
        <item x="7"/>
        <item x="15"/>
        <item x="83"/>
        <item x="40"/>
        <item x="6"/>
        <item x="24"/>
        <item x="79"/>
        <item x="17"/>
        <item x="38"/>
        <item x="73"/>
        <item x="49"/>
        <item x="35"/>
        <item x="65"/>
        <item x="37"/>
        <item x="12"/>
        <item x="72"/>
        <item x="43"/>
        <item x="3"/>
        <item x="69"/>
        <item x="31"/>
        <item x="52"/>
        <item x="42"/>
        <item x="9"/>
        <item x="26"/>
        <item x="22"/>
        <item x="25"/>
        <item x="55"/>
        <item x="18"/>
        <item x="78"/>
        <item x="30"/>
        <item x="34"/>
        <item x="20"/>
        <item x="80"/>
        <item x="28"/>
        <item x="81"/>
        <item x="44"/>
        <item x="46"/>
        <item x="57"/>
        <item x="1"/>
        <item x="77"/>
        <item x="41"/>
        <item x="39"/>
        <item x="48"/>
        <item x="76"/>
        <item x="66"/>
        <item x="13"/>
        <item x="82"/>
        <item x="53"/>
        <item x="71"/>
        <item x="58"/>
        <item x="36"/>
        <item x="60"/>
        <item x="74"/>
        <item x="29"/>
        <item x="68"/>
        <item x="67"/>
        <item x="64"/>
        <item x="47"/>
        <item x="10"/>
        <item x="61"/>
        <item x="33"/>
        <item x="23"/>
        <item x="21"/>
        <item x="4"/>
        <item x="11"/>
        <item x="8"/>
        <item x="16"/>
        <item x="59"/>
        <item x="51"/>
        <item t="default"/>
      </items>
    </pivotField>
    <pivotField showAll="0"/>
    <pivotField axis="axisRow" showAll="0">
      <items count="6">
        <item x="3"/>
        <item x="4"/>
        <item x="1"/>
        <item x="0"/>
        <item x="2"/>
        <item t="default"/>
      </items>
    </pivotField>
    <pivotField numFmtId="2" showAll="0"/>
    <pivotField numFmtId="164" showAll="0"/>
    <pivotField showAll="0">
      <items count="5">
        <item x="2"/>
        <item x="0"/>
        <item x="3"/>
        <item x="1"/>
        <item t="default"/>
      </items>
    </pivotField>
    <pivotField showAll="0">
      <items count="6">
        <item x="3"/>
        <item x="2"/>
        <item x="1"/>
        <item x="4"/>
        <item x="0"/>
        <item t="default"/>
      </items>
    </pivotField>
    <pivotField dataField="1" numFmtId="164" showAll="0"/>
    <pivotField showAll="0" defaultSubtotal="0"/>
    <pivotField showAll="0" defaultSubtotal="0">
      <items count="3">
        <item x="0"/>
        <item x="1"/>
        <item x="2"/>
      </items>
    </pivotField>
  </pivotFields>
  <rowFields count="1">
    <field x="5"/>
  </rowFields>
  <rowItems count="6">
    <i>
      <x/>
    </i>
    <i>
      <x v="1"/>
    </i>
    <i>
      <x v="2"/>
    </i>
    <i>
      <x v="3"/>
    </i>
    <i>
      <x v="4"/>
    </i>
    <i t="grand">
      <x/>
    </i>
  </rowItems>
  <colItems count="1">
    <i/>
  </colItems>
  <dataFields count="1">
    <dataField name="Sum of Total" fld="10" baseField="0" baseItem="0" numFmtId="164"/>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BC627A4-6529-400C-AA47-CEC8D048F023}"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O3:P14" firstHeaderRow="1" firstDataRow="1" firstDataCol="1"/>
  <pivotFields count="13">
    <pivotField showAll="0"/>
    <pivotField showAll="0"/>
    <pivotField showAll="0"/>
    <pivotField numFmtId="14" showAll="0">
      <items count="85">
        <item x="14"/>
        <item x="56"/>
        <item x="27"/>
        <item x="63"/>
        <item x="75"/>
        <item x="5"/>
        <item x="0"/>
        <item x="45"/>
        <item x="50"/>
        <item x="32"/>
        <item x="62"/>
        <item x="54"/>
        <item x="19"/>
        <item x="2"/>
        <item x="70"/>
        <item x="7"/>
        <item x="15"/>
        <item x="83"/>
        <item x="40"/>
        <item x="6"/>
        <item x="24"/>
        <item x="79"/>
        <item x="17"/>
        <item x="38"/>
        <item x="73"/>
        <item x="49"/>
        <item x="35"/>
        <item x="65"/>
        <item x="37"/>
        <item x="12"/>
        <item x="72"/>
        <item x="43"/>
        <item x="3"/>
        <item x="69"/>
        <item x="31"/>
        <item x="52"/>
        <item x="42"/>
        <item x="9"/>
        <item x="26"/>
        <item x="22"/>
        <item x="25"/>
        <item x="55"/>
        <item x="18"/>
        <item x="78"/>
        <item x="30"/>
        <item x="34"/>
        <item x="20"/>
        <item x="80"/>
        <item x="28"/>
        <item x="81"/>
        <item x="44"/>
        <item x="46"/>
        <item x="57"/>
        <item x="1"/>
        <item x="77"/>
        <item x="41"/>
        <item x="39"/>
        <item x="48"/>
        <item x="76"/>
        <item x="66"/>
        <item x="13"/>
        <item x="82"/>
        <item x="53"/>
        <item x="71"/>
        <item x="58"/>
        <item x="36"/>
        <item x="60"/>
        <item x="74"/>
        <item x="29"/>
        <item x="68"/>
        <item x="67"/>
        <item x="64"/>
        <item x="47"/>
        <item x="10"/>
        <item x="61"/>
        <item x="33"/>
        <item x="23"/>
        <item x="21"/>
        <item x="4"/>
        <item x="11"/>
        <item x="8"/>
        <item x="16"/>
        <item x="59"/>
        <item x="51"/>
        <item t="default"/>
      </items>
    </pivotField>
    <pivotField axis="axisRow" showAll="0" measureFilter="1">
      <items count="21">
        <item x="5"/>
        <item x="4"/>
        <item x="0"/>
        <item x="6"/>
        <item x="8"/>
        <item x="16"/>
        <item x="15"/>
        <item x="18"/>
        <item x="19"/>
        <item x="12"/>
        <item x="17"/>
        <item x="9"/>
        <item x="3"/>
        <item x="7"/>
        <item x="1"/>
        <item x="14"/>
        <item x="2"/>
        <item x="13"/>
        <item x="11"/>
        <item x="10"/>
        <item t="default"/>
      </items>
    </pivotField>
    <pivotField showAll="0">
      <items count="6">
        <item x="3"/>
        <item x="4"/>
        <item x="1"/>
        <item x="0"/>
        <item x="2"/>
        <item t="default"/>
      </items>
    </pivotField>
    <pivotField numFmtId="2" showAll="0"/>
    <pivotField numFmtId="164" showAll="0"/>
    <pivotField showAll="0">
      <items count="5">
        <item x="2"/>
        <item x="0"/>
        <item x="3"/>
        <item x="1"/>
        <item t="default"/>
      </items>
    </pivotField>
    <pivotField showAll="0">
      <items count="6">
        <item x="3"/>
        <item x="2"/>
        <item x="1"/>
        <item x="4"/>
        <item x="0"/>
        <item t="default"/>
      </items>
    </pivotField>
    <pivotField dataField="1" numFmtId="164" showAll="0"/>
    <pivotField showAll="0" defaultSubtotal="0"/>
    <pivotField showAll="0" defaultSubtotal="0">
      <items count="3">
        <item x="0"/>
        <item x="1"/>
        <item x="2"/>
      </items>
    </pivotField>
  </pivotFields>
  <rowFields count="1">
    <field x="4"/>
  </rowFields>
  <rowItems count="11">
    <i>
      <x/>
    </i>
    <i>
      <x v="1"/>
    </i>
    <i>
      <x v="2"/>
    </i>
    <i>
      <x v="3"/>
    </i>
    <i>
      <x v="4"/>
    </i>
    <i>
      <x v="9"/>
    </i>
    <i>
      <x v="12"/>
    </i>
    <i>
      <x v="13"/>
    </i>
    <i>
      <x v="17"/>
    </i>
    <i>
      <x v="18"/>
    </i>
    <i t="grand">
      <x/>
    </i>
  </rowItems>
  <colItems count="1">
    <i/>
  </colItems>
  <dataFields count="1">
    <dataField name="Sum of Total" fld="10" baseField="0" baseItem="0" numFmtId="164"/>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4"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507CFEA-BD89-402B-AF8D-C3757C1E8043}"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5:A6" firstHeaderRow="1" firstDataRow="1" firstDataCol="0"/>
  <pivotFields count="13">
    <pivotField showAll="0"/>
    <pivotField showAll="0"/>
    <pivotField dataField="1" showAll="0"/>
    <pivotField numFmtId="14" showAll="0">
      <items count="85">
        <item x="14"/>
        <item x="56"/>
        <item x="27"/>
        <item x="63"/>
        <item x="75"/>
        <item x="5"/>
        <item x="0"/>
        <item x="45"/>
        <item x="50"/>
        <item x="32"/>
        <item x="62"/>
        <item x="54"/>
        <item x="19"/>
        <item x="2"/>
        <item x="70"/>
        <item x="7"/>
        <item x="15"/>
        <item x="83"/>
        <item x="40"/>
        <item x="6"/>
        <item x="24"/>
        <item x="79"/>
        <item x="17"/>
        <item x="38"/>
        <item x="73"/>
        <item x="49"/>
        <item x="35"/>
        <item x="65"/>
        <item x="37"/>
        <item x="12"/>
        <item x="72"/>
        <item x="43"/>
        <item x="3"/>
        <item x="69"/>
        <item x="31"/>
        <item x="52"/>
        <item x="42"/>
        <item x="9"/>
        <item x="26"/>
        <item x="22"/>
        <item x="25"/>
        <item x="55"/>
        <item x="18"/>
        <item x="78"/>
        <item x="30"/>
        <item x="34"/>
        <item x="20"/>
        <item x="80"/>
        <item x="28"/>
        <item x="81"/>
        <item x="44"/>
        <item x="46"/>
        <item x="57"/>
        <item x="1"/>
        <item x="77"/>
        <item x="41"/>
        <item x="39"/>
        <item x="48"/>
        <item x="76"/>
        <item x="66"/>
        <item x="13"/>
        <item x="82"/>
        <item x="53"/>
        <item x="71"/>
        <item x="58"/>
        <item x="36"/>
        <item x="60"/>
        <item x="74"/>
        <item x="29"/>
        <item x="68"/>
        <item x="67"/>
        <item x="64"/>
        <item x="47"/>
        <item x="10"/>
        <item x="61"/>
        <item x="33"/>
        <item x="23"/>
        <item x="21"/>
        <item x="4"/>
        <item x="11"/>
        <item x="8"/>
        <item x="16"/>
        <item x="59"/>
        <item x="51"/>
        <item t="default"/>
      </items>
    </pivotField>
    <pivotField showAll="0"/>
    <pivotField showAll="0">
      <items count="6">
        <item x="3"/>
        <item x="4"/>
        <item x="1"/>
        <item x="0"/>
        <item x="2"/>
        <item t="default"/>
      </items>
    </pivotField>
    <pivotField numFmtId="2" showAll="0"/>
    <pivotField numFmtId="164" showAll="0"/>
    <pivotField showAll="0">
      <items count="5">
        <item x="2"/>
        <item x="0"/>
        <item x="3"/>
        <item x="1"/>
        <item t="default"/>
      </items>
    </pivotField>
    <pivotField showAll="0">
      <items count="6">
        <item x="3"/>
        <item x="2"/>
        <item x="1"/>
        <item x="4"/>
        <item x="0"/>
        <item t="default"/>
      </items>
    </pivotField>
    <pivotField numFmtId="164" showAll="0"/>
    <pivotField showAll="0" defaultSubtotal="0"/>
    <pivotField showAll="0" defaultSubtotal="0">
      <items count="3">
        <item x="0"/>
        <item x="1"/>
        <item x="2"/>
      </items>
    </pivotField>
  </pivotFields>
  <rowItems count="1">
    <i/>
  </rowItems>
  <colItems count="1">
    <i/>
  </colItems>
  <dataFields count="1">
    <dataField name="Count of Order_ID"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9EA8C98-D366-4F04-BFD3-C1356B79036E}"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1:A2" firstHeaderRow="1" firstDataRow="1" firstDataCol="0"/>
  <pivotFields count="13">
    <pivotField showAll="0"/>
    <pivotField showAll="0"/>
    <pivotField showAll="0"/>
    <pivotField numFmtId="14" showAll="0">
      <items count="85">
        <item x="14"/>
        <item x="56"/>
        <item x="27"/>
        <item x="63"/>
        <item x="75"/>
        <item x="5"/>
        <item x="0"/>
        <item x="45"/>
        <item x="50"/>
        <item x="32"/>
        <item x="62"/>
        <item x="54"/>
        <item x="19"/>
        <item x="2"/>
        <item x="70"/>
        <item x="7"/>
        <item x="15"/>
        <item x="83"/>
        <item x="40"/>
        <item x="6"/>
        <item x="24"/>
        <item x="79"/>
        <item x="17"/>
        <item x="38"/>
        <item x="73"/>
        <item x="49"/>
        <item x="35"/>
        <item x="65"/>
        <item x="37"/>
        <item x="12"/>
        <item x="72"/>
        <item x="43"/>
        <item x="3"/>
        <item x="69"/>
        <item x="31"/>
        <item x="52"/>
        <item x="42"/>
        <item x="9"/>
        <item x="26"/>
        <item x="22"/>
        <item x="25"/>
        <item x="55"/>
        <item x="18"/>
        <item x="78"/>
        <item x="30"/>
        <item x="34"/>
        <item x="20"/>
        <item x="80"/>
        <item x="28"/>
        <item x="81"/>
        <item x="44"/>
        <item x="46"/>
        <item x="57"/>
        <item x="1"/>
        <item x="77"/>
        <item x="41"/>
        <item x="39"/>
        <item x="48"/>
        <item x="76"/>
        <item x="66"/>
        <item x="13"/>
        <item x="82"/>
        <item x="53"/>
        <item x="71"/>
        <item x="58"/>
        <item x="36"/>
        <item x="60"/>
        <item x="74"/>
        <item x="29"/>
        <item x="68"/>
        <item x="67"/>
        <item x="64"/>
        <item x="47"/>
        <item x="10"/>
        <item x="61"/>
        <item x="33"/>
        <item x="23"/>
        <item x="21"/>
        <item x="4"/>
        <item x="11"/>
        <item x="8"/>
        <item x="16"/>
        <item x="59"/>
        <item x="51"/>
        <item t="default"/>
      </items>
    </pivotField>
    <pivotField showAll="0"/>
    <pivotField showAll="0">
      <items count="6">
        <item x="3"/>
        <item x="4"/>
        <item x="1"/>
        <item x="0"/>
        <item x="2"/>
        <item t="default"/>
      </items>
    </pivotField>
    <pivotField numFmtId="2" showAll="0"/>
    <pivotField numFmtId="164" showAll="0"/>
    <pivotField showAll="0">
      <items count="5">
        <item x="2"/>
        <item x="0"/>
        <item x="3"/>
        <item x="1"/>
        <item t="default"/>
      </items>
    </pivotField>
    <pivotField showAll="0">
      <items count="6">
        <item x="3"/>
        <item x="2"/>
        <item x="1"/>
        <item x="4"/>
        <item x="0"/>
        <item t="default"/>
      </items>
    </pivotField>
    <pivotField dataField="1" numFmtId="164" showAll="0"/>
    <pivotField showAll="0" defaultSubtotal="0"/>
    <pivotField showAll="0" defaultSubtotal="0">
      <items count="3">
        <item x="0"/>
        <item x="1"/>
        <item x="2"/>
      </items>
    </pivotField>
  </pivotFields>
  <rowItems count="1">
    <i/>
  </rowItems>
  <colItems count="1">
    <i/>
  </colItems>
  <dataFields count="1">
    <dataField name="Sum of Total" fld="10" baseField="0" baseItem="0" numFmtId="164"/>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CC93EB4-37A5-4DEA-B9A7-C159BC30D136}"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13:A14" firstHeaderRow="1" firstDataRow="1" firstDataCol="0"/>
  <pivotFields count="13">
    <pivotField showAll="0"/>
    <pivotField showAll="0"/>
    <pivotField showAll="0"/>
    <pivotField numFmtId="14" showAll="0">
      <items count="85">
        <item x="14"/>
        <item x="56"/>
        <item x="27"/>
        <item x="63"/>
        <item x="75"/>
        <item x="5"/>
        <item x="0"/>
        <item x="45"/>
        <item x="50"/>
        <item x="32"/>
        <item x="62"/>
        <item x="54"/>
        <item x="19"/>
        <item x="2"/>
        <item x="70"/>
        <item x="7"/>
        <item x="15"/>
        <item x="83"/>
        <item x="40"/>
        <item x="6"/>
        <item x="24"/>
        <item x="79"/>
        <item x="17"/>
        <item x="38"/>
        <item x="73"/>
        <item x="49"/>
        <item x="35"/>
        <item x="65"/>
        <item x="37"/>
        <item x="12"/>
        <item x="72"/>
        <item x="43"/>
        <item x="3"/>
        <item x="69"/>
        <item x="31"/>
        <item x="52"/>
        <item x="42"/>
        <item x="9"/>
        <item x="26"/>
        <item x="22"/>
        <item x="25"/>
        <item x="55"/>
        <item x="18"/>
        <item x="78"/>
        <item x="30"/>
        <item x="34"/>
        <item x="20"/>
        <item x="80"/>
        <item x="28"/>
        <item x="81"/>
        <item x="44"/>
        <item x="46"/>
        <item x="57"/>
        <item x="1"/>
        <item x="77"/>
        <item x="41"/>
        <item x="39"/>
        <item x="48"/>
        <item x="76"/>
        <item x="66"/>
        <item x="13"/>
        <item x="82"/>
        <item x="53"/>
        <item x="71"/>
        <item x="58"/>
        <item x="36"/>
        <item x="60"/>
        <item x="74"/>
        <item x="29"/>
        <item x="68"/>
        <item x="67"/>
        <item x="64"/>
        <item x="47"/>
        <item x="10"/>
        <item x="61"/>
        <item x="33"/>
        <item x="23"/>
        <item x="21"/>
        <item x="4"/>
        <item x="11"/>
        <item x="8"/>
        <item x="16"/>
        <item x="59"/>
        <item x="51"/>
        <item t="default"/>
      </items>
    </pivotField>
    <pivotField showAll="0"/>
    <pivotField showAll="0">
      <items count="6">
        <item x="3"/>
        <item x="4"/>
        <item x="1"/>
        <item x="0"/>
        <item x="2"/>
        <item t="default"/>
      </items>
    </pivotField>
    <pivotField numFmtId="2" showAll="0"/>
    <pivotField numFmtId="164" showAll="0"/>
    <pivotField showAll="0">
      <items count="5">
        <item x="2"/>
        <item x="0"/>
        <item x="3"/>
        <item x="1"/>
        <item t="default"/>
      </items>
    </pivotField>
    <pivotField showAll="0">
      <items count="6">
        <item x="3"/>
        <item x="2"/>
        <item x="1"/>
        <item x="4"/>
        <item x="0"/>
        <item t="default"/>
      </items>
    </pivotField>
    <pivotField dataField="1" numFmtId="164" showAll="0"/>
    <pivotField showAll="0" defaultSubtotal="0"/>
    <pivotField showAll="0" defaultSubtotal="0">
      <items count="3">
        <item x="0"/>
        <item x="1"/>
        <item x="2"/>
      </items>
    </pivotField>
  </pivotFields>
  <rowItems count="1">
    <i/>
  </rowItems>
  <colItems count="1">
    <i/>
  </colItems>
  <dataFields count="1">
    <dataField name="Average of Total" fld="10" subtotal="average" baseField="0" baseItem="0" numFmtId="2"/>
  </dataFields>
  <formats count="1">
    <format dxfId="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213581B-C25E-4CE5-9B5C-30311F0803A5}"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9:A10" firstHeaderRow="1" firstDataRow="1" firstDataCol="0"/>
  <pivotFields count="13">
    <pivotField showAll="0"/>
    <pivotField showAll="0"/>
    <pivotField showAll="0"/>
    <pivotField numFmtId="14" showAll="0">
      <items count="85">
        <item x="14"/>
        <item x="56"/>
        <item x="27"/>
        <item x="63"/>
        <item x="75"/>
        <item x="5"/>
        <item x="0"/>
        <item x="45"/>
        <item x="50"/>
        <item x="32"/>
        <item x="62"/>
        <item x="54"/>
        <item x="19"/>
        <item x="2"/>
        <item x="70"/>
        <item x="7"/>
        <item x="15"/>
        <item x="83"/>
        <item x="40"/>
        <item x="6"/>
        <item x="24"/>
        <item x="79"/>
        <item x="17"/>
        <item x="38"/>
        <item x="73"/>
        <item x="49"/>
        <item x="35"/>
        <item x="65"/>
        <item x="37"/>
        <item x="12"/>
        <item x="72"/>
        <item x="43"/>
        <item x="3"/>
        <item x="69"/>
        <item x="31"/>
        <item x="52"/>
        <item x="42"/>
        <item x="9"/>
        <item x="26"/>
        <item x="22"/>
        <item x="25"/>
        <item x="55"/>
        <item x="18"/>
        <item x="78"/>
        <item x="30"/>
        <item x="34"/>
        <item x="20"/>
        <item x="80"/>
        <item x="28"/>
        <item x="81"/>
        <item x="44"/>
        <item x="46"/>
        <item x="57"/>
        <item x="1"/>
        <item x="77"/>
        <item x="41"/>
        <item x="39"/>
        <item x="48"/>
        <item x="76"/>
        <item x="66"/>
        <item x="13"/>
        <item x="82"/>
        <item x="53"/>
        <item x="71"/>
        <item x="58"/>
        <item x="36"/>
        <item x="60"/>
        <item x="74"/>
        <item x="29"/>
        <item x="68"/>
        <item x="67"/>
        <item x="64"/>
        <item x="47"/>
        <item x="10"/>
        <item x="61"/>
        <item x="33"/>
        <item x="23"/>
        <item x="21"/>
        <item x="4"/>
        <item x="11"/>
        <item x="8"/>
        <item x="16"/>
        <item x="59"/>
        <item x="51"/>
        <item t="default"/>
      </items>
    </pivotField>
    <pivotField showAll="0"/>
    <pivotField showAll="0">
      <items count="6">
        <item x="3"/>
        <item x="4"/>
        <item x="1"/>
        <item x="0"/>
        <item x="2"/>
        <item t="default"/>
      </items>
    </pivotField>
    <pivotField dataField="1" numFmtId="2" showAll="0"/>
    <pivotField numFmtId="164" showAll="0"/>
    <pivotField showAll="0">
      <items count="5">
        <item x="2"/>
        <item x="0"/>
        <item x="3"/>
        <item x="1"/>
        <item t="default"/>
      </items>
    </pivotField>
    <pivotField showAll="0">
      <items count="6">
        <item x="3"/>
        <item x="2"/>
        <item x="1"/>
        <item x="4"/>
        <item x="0"/>
        <item t="default"/>
      </items>
    </pivotField>
    <pivotField numFmtId="164" showAll="0"/>
    <pivotField showAll="0" defaultSubtotal="0"/>
    <pivotField showAll="0" defaultSubtotal="0">
      <items count="3">
        <item x="0"/>
        <item x="1"/>
        <item x="2"/>
      </items>
    </pivotField>
  </pivotFields>
  <rowItems count="1">
    <i/>
  </rowItems>
  <colItems count="1">
    <i/>
  </colItems>
  <dataFields count="1">
    <dataField name="Sum of Quantity" fld="6" baseField="0" baseItem="0" numFmtId="2"/>
  </dataFields>
  <formats count="2">
    <format dxfId="3">
      <pivotArea outline="0" collapsedLevelsAreSubtotals="1" fieldPosition="0"/>
    </format>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110A3F87-7100-4117-A010-E4085D37ACF5}" sourceName="Category">
  <pivotTables>
    <pivotTable tabId="10" name="PivotTable1"/>
    <pivotTable tabId="10" name="PivotTable2"/>
    <pivotTable tabId="10" name="PivotTable3"/>
    <pivotTable tabId="10" name="PivotTable4"/>
    <pivotTable tabId="10" name="PivotTable5"/>
    <pivotTable tabId="10" name="PivotTable6"/>
    <pivotTable tabId="10" name="PivotTable7"/>
    <pivotTable tabId="10" name="PivotTable9"/>
    <pivotTable tabId="12" name="PivotTable1"/>
    <pivotTable tabId="12" name="PivotTable2"/>
    <pivotTable tabId="12" name="PivotTable3"/>
    <pivotTable tabId="12" name="PivotTable4"/>
  </pivotTables>
  <data>
    <tabular pivotCacheId="1404669368">
      <items count="5">
        <i x="3" s="1"/>
        <i x="4"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2F279D47-1028-4BB1-B7EB-933FE5B797C4}" sourceName="Payment_Method">
  <pivotTables>
    <pivotTable tabId="10" name="PivotTable1"/>
    <pivotTable tabId="10" name="PivotTable2"/>
    <pivotTable tabId="10" name="PivotTable3"/>
    <pivotTable tabId="10" name="PivotTable4"/>
    <pivotTable tabId="10" name="PivotTable5"/>
    <pivotTable tabId="10" name="PivotTable6"/>
    <pivotTable tabId="10" name="PivotTable7"/>
    <pivotTable tabId="10" name="PivotTable9"/>
    <pivotTable tabId="12" name="PivotTable1"/>
    <pivotTable tabId="12" name="PivotTable2"/>
    <pivotTable tabId="12" name="PivotTable3"/>
    <pivotTable tabId="12" name="PivotTable4"/>
  </pivotTables>
  <data>
    <tabular pivotCacheId="1404669368">
      <items count="4">
        <i x="2" s="1"/>
        <i x="0" s="1"/>
        <i x="3"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6E3568E6-3AFF-47CD-A378-59C774C1589B}" sourceName="Status">
  <pivotTables>
    <pivotTable tabId="10" name="PivotTable1"/>
    <pivotTable tabId="10" name="PivotTable2"/>
    <pivotTable tabId="10" name="PivotTable3"/>
    <pivotTable tabId="10" name="PivotTable4"/>
    <pivotTable tabId="10" name="PivotTable5"/>
    <pivotTable tabId="10" name="PivotTable6"/>
    <pivotTable tabId="10" name="PivotTable7"/>
    <pivotTable tabId="10" name="PivotTable9"/>
    <pivotTable tabId="12" name="PivotTable1"/>
    <pivotTable tabId="12" name="PivotTable2"/>
    <pivotTable tabId="12" name="PivotTable3"/>
    <pivotTable tabId="12" name="PivotTable4"/>
  </pivotTables>
  <data>
    <tabular pivotCacheId="1404669368">
      <items count="5">
        <i x="3" s="1"/>
        <i x="2" s="1"/>
        <i x="1" s="1"/>
        <i x="4"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DA4F3EB4-EA9A-4471-94B3-71F7C13695B5}" cache="Slicer_Category" caption="Category" rowHeight="234950"/>
  <slicer name="Payment_Method" xr10:uid="{937D09C1-AD21-49E9-8361-428D3D9D72DB}" cache="Slicer_Payment_Method" caption="Payment_Method" rowHeight="234950"/>
  <slicer name="Status" xr10:uid="{97BE4D3B-10E2-45F3-BBB7-C5DCF4B2811F}" cache="Slicer_Status" caption="Status"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E8CADA15-5C89-44BE-9989-9501D53BE476}" cache="Slicer_Category" caption="Category" style="Slicer Style 3" rowHeight="234950"/>
  <slicer name="Payment_Method 1" xr10:uid="{46D543E6-B537-40A6-A918-78AFD7B211C1}" cache="Slicer_Payment_Method" caption="Payment_Method" style="Slicer Style 3" rowHeight="234950"/>
  <slicer name="Status 1" xr10:uid="{68D2FF4B-D5CE-47E4-808D-4D16132F8C67}" cache="Slicer_Status" caption="Status" style="Slicer Style 3"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5AC2EE-0EBB-4266-A251-6F51560828CF}" name="Table1" displayName="Table1" ref="A1:K101" totalsRowShown="0">
  <autoFilter ref="A1:K101" xr:uid="{695AC2EE-0EBB-4266-A251-6F51560828CF}"/>
  <sortState xmlns:xlrd2="http://schemas.microsoft.com/office/spreadsheetml/2017/richdata2" ref="A2:K101">
    <sortCondition ref="A2:A101"/>
  </sortState>
  <tableColumns count="11">
    <tableColumn id="1" xr3:uid="{A8E6C5C6-E834-4CF7-88EA-4DEBC97B9C1A}" name="ID"/>
    <tableColumn id="2" xr3:uid="{3A6666BF-C492-41F5-A61B-CA295F764734}" name=" Customer_Name"/>
    <tableColumn id="3" xr3:uid="{D9BAEE83-EFE3-4AAC-8584-C9AA63F140AA}" name="Order_ID"/>
    <tableColumn id="4" xr3:uid="{511AF0E1-C943-42C7-9D6E-41C024A4A804}" name="Order_Date" dataDxfId="7"/>
    <tableColumn id="5" xr3:uid="{DC2478FA-8511-4643-8365-B6559B59005E}" name=" Product"/>
    <tableColumn id="6" xr3:uid="{3D625A18-2569-4AE0-A341-01CD3A90B0A4}" name="Category"/>
    <tableColumn id="7" xr3:uid="{629A434F-F55C-4B8E-AA39-949ECA6D945C}" name="Quantity" dataDxfId="6">
      <calculatedColumnFormula>IF(OR(W2="",W2=0),AVERAGEIF(W:W,"&gt;0"),W2)</calculatedColumnFormula>
    </tableColumn>
    <tableColumn id="8" xr3:uid="{0D0356B7-6021-4B0A-AB7C-A00D3C27A727}" name="Price" dataDxfId="5"/>
    <tableColumn id="9" xr3:uid="{1C1FA87B-C0CE-44C2-9A90-07AA7C71C148}" name="Payment_Method"/>
    <tableColumn id="10" xr3:uid="{7551C0CF-0C30-4878-857D-208C84C428CC}" name="Status"/>
    <tableColumn id="11" xr3:uid="{BD68F9AD-73DB-4F41-9602-C52D41BA0C71}" name="Total" dataDxfId="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554D9914-CB27-4051-8CD7-700C0722132B}" sourceName="Order_Date">
  <pivotTables>
    <pivotTable tabId="10" name="PivotTable1"/>
    <pivotTable tabId="10" name="PivotTable2"/>
    <pivotTable tabId="10" name="PivotTable3"/>
    <pivotTable tabId="10" name="PivotTable4"/>
    <pivotTable tabId="10" name="PivotTable5"/>
    <pivotTable tabId="10" name="PivotTable6"/>
    <pivotTable tabId="10" name="PivotTable7"/>
    <pivotTable tabId="10" name="PivotTable9"/>
    <pivotTable tabId="12" name="PivotTable1"/>
    <pivotTable tabId="12" name="PivotTable2"/>
    <pivotTable tabId="12" name="PivotTable3"/>
    <pivotTable tabId="12" name="PivotTable4"/>
  </pivotTables>
  <state minimalRefreshVersion="6" lastRefreshVersion="6" pivotCacheId="1404669368" filterType="unknown">
    <bounds startDate="2023-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F09F598C-910D-4423-AAA3-46FD0611329F}" cache="NativeTimeline_Order_Date" caption="Order_Date" level="0" selectionLevel="0" scrollPosition="2023-01-01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1" xr10:uid="{91BCBC62-10A0-46BC-93D2-1F3C65ADA526}" cache="NativeTimeline_Order_Date" caption="Order_Date" level="0" selectionLevel="0" scrollPosition="2023-01-01T00:00:00" style="Timeline Style 4"/>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microsoft.com/office/2011/relationships/timeline" Target="../timelines/timeline1.xml"/><Relationship Id="rId5" Type="http://schemas.openxmlformats.org/officeDocument/2006/relationships/pivotTable" Target="../pivotTables/pivotTable5.xml"/><Relationship Id="rId10"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microsoft.com/office/2011/relationships/timeline" Target="../timelines/timeline2.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printerSettings" Target="../printerSettings/printerSettings2.bin"/><Relationship Id="rId4" Type="http://schemas.openxmlformats.org/officeDocument/2006/relationships/pivotTable" Target="../pivotTables/pivot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F104"/>
  <sheetViews>
    <sheetView topLeftCell="A17" zoomScale="132" zoomScaleNormal="132" workbookViewId="0">
      <selection sqref="A1:K101"/>
    </sheetView>
  </sheetViews>
  <sheetFormatPr defaultRowHeight="14.4" x14ac:dyDescent="0.3"/>
  <cols>
    <col min="1" max="1" width="4.5546875" bestFit="1" customWidth="1"/>
    <col min="2" max="2" width="17.44140625" bestFit="1" customWidth="1"/>
    <col min="3" max="3" width="10.33203125" bestFit="1" customWidth="1"/>
    <col min="4" max="4" width="12.44140625" bestFit="1" customWidth="1"/>
    <col min="5" max="6" width="12.33203125" bestFit="1" customWidth="1"/>
    <col min="7" max="7" width="10.109375" bestFit="1" customWidth="1"/>
    <col min="8" max="8" width="11.109375" bestFit="1" customWidth="1"/>
    <col min="9" max="9" width="18.33203125" style="2" bestFit="1" customWidth="1"/>
    <col min="10" max="10" width="9.5546875" bestFit="1" customWidth="1"/>
    <col min="11" max="11" width="11.109375" bestFit="1" customWidth="1"/>
    <col min="12" max="13" width="11.109375" customWidth="1"/>
    <col min="14" max="14" width="12.5546875" style="2" customWidth="1"/>
    <col min="15" max="15" width="15.33203125" customWidth="1"/>
    <col min="18" max="18" width="11" bestFit="1" customWidth="1"/>
    <col min="27" max="27" width="31.88671875" customWidth="1"/>
    <col min="28" max="28" width="12.88671875" bestFit="1" customWidth="1"/>
    <col min="29" max="29" width="11.109375" bestFit="1" customWidth="1"/>
    <col min="30" max="30" width="12.33203125" bestFit="1" customWidth="1"/>
    <col min="31" max="31" width="9.88671875" bestFit="1" customWidth="1"/>
    <col min="32" max="32" width="17.6640625" customWidth="1"/>
  </cols>
  <sheetData>
    <row r="1" spans="1:32" x14ac:dyDescent="0.3">
      <c r="A1" t="s">
        <v>0</v>
      </c>
      <c r="B1" t="s">
        <v>1</v>
      </c>
      <c r="C1" t="s">
        <v>2</v>
      </c>
      <c r="D1" t="s">
        <v>3</v>
      </c>
      <c r="E1" t="s">
        <v>4</v>
      </c>
      <c r="F1" t="s">
        <v>5</v>
      </c>
      <c r="G1" t="s">
        <v>6</v>
      </c>
      <c r="H1" s="2" t="s">
        <v>7</v>
      </c>
      <c r="I1" t="s">
        <v>8</v>
      </c>
      <c r="J1" t="s">
        <v>9</v>
      </c>
      <c r="K1" s="2" t="s">
        <v>10</v>
      </c>
      <c r="L1" s="2"/>
      <c r="M1" s="2"/>
      <c r="N1"/>
      <c r="O1" s="3" t="s">
        <v>3</v>
      </c>
    </row>
    <row r="2" spans="1:32" x14ac:dyDescent="0.3">
      <c r="A2">
        <v>100</v>
      </c>
      <c r="B2" t="s">
        <v>11</v>
      </c>
      <c r="C2" t="s">
        <v>12</v>
      </c>
      <c r="D2" s="1">
        <v>45618</v>
      </c>
      <c r="E2" t="s">
        <v>13</v>
      </c>
      <c r="F2" t="s">
        <v>14</v>
      </c>
      <c r="G2" s="6">
        <f t="shared" ref="G2:G33" si="0">IF(OR(W2="",W2=0),AVERAGEIF(W:W,"&gt;0"),W2)</f>
        <v>3</v>
      </c>
      <c r="H2" s="2">
        <v>38</v>
      </c>
      <c r="I2" t="s">
        <v>15</v>
      </c>
      <c r="J2" t="s">
        <v>16</v>
      </c>
      <c r="K2" s="2">
        <v>114</v>
      </c>
      <c r="L2" s="2"/>
      <c r="M2" s="2"/>
      <c r="N2" t="str">
        <f>IFERROR(DATEVALUE(A2),"")</f>
        <v/>
      </c>
      <c r="O2" s="4">
        <v>22</v>
      </c>
      <c r="P2">
        <v>11</v>
      </c>
      <c r="Q2">
        <v>2024</v>
      </c>
      <c r="R2" s="1">
        <f t="shared" ref="R2:R33" si="1">IFERROR(DATE(Q2,P2,DAY(O2)),DATEVALUE(O2))</f>
        <v>45618</v>
      </c>
      <c r="T2">
        <v>3</v>
      </c>
      <c r="U2">
        <f>IFERROR(VALUE(T2),"")</f>
        <v>3</v>
      </c>
      <c r="V2">
        <f>IF(U2&lt;0,ABS(U2),U2)</f>
        <v>3</v>
      </c>
      <c r="W2">
        <f>IF(V2="","",V2)</f>
        <v>3</v>
      </c>
      <c r="X2">
        <f>IF(OR(W2="",W2=0),"",W2)</f>
        <v>3</v>
      </c>
      <c r="Y2" s="6">
        <f>AVERAGEIF(X:X,"&gt;0")</f>
        <v>3.0744680851063828</v>
      </c>
      <c r="Z2" s="6">
        <f>IF(OR(W2="",W2=0),AVERAGEIF(W:W,"&gt;0"),W2)</f>
        <v>3</v>
      </c>
      <c r="AA2">
        <f t="shared" ref="AA2:AA33" si="2">IFERROR(IF(VALUE(SUBSTITUTE(SUBSTITUTE(SUBSTITUTE(SUBSTITUTE(H2,"₹",""),"$",""),",","")," ",""))&lt;0,"",VALUE(SUBSTITUTE(SUBSTITUTE(SUBSTITUTE(SUBSTITUTE(H2,"₹",""),"$",""),",","")," ",""))),"")</f>
        <v>38</v>
      </c>
      <c r="AB2" s="2">
        <f>IF(AA2="",AVERAGE(AA:AA),AA2)</f>
        <v>38</v>
      </c>
      <c r="AC2" s="2">
        <f t="shared" ref="AC2:AC33" si="3">G2*H2</f>
        <v>114</v>
      </c>
      <c r="AD2" t="str">
        <f t="shared" ref="AD2:AD33" si="4">IF(F2&lt;&gt;"", F2, _xlfn.XLOOKUP(E2, E:E, F:F, ""))</f>
        <v>Home</v>
      </c>
      <c r="AE2" t="str">
        <f>PROPER(TRIM(F2))</f>
        <v>Home</v>
      </c>
      <c r="AF2" t="str" cm="1">
        <f t="array" ref="AF2">IF(OR(F2=0,F2="0"),   _xlfn.XLOOKUP(E2, _xlfn._xlws.FILTER(E:E, (F:F&lt;&gt;"0")*(F:F&lt;&gt;0)), _xlfn._xlws.FILTER(F:F, (F:F&lt;&gt;"0")*(F:F&lt;&gt;0)), ""),F2)</f>
        <v>Home</v>
      </c>
    </row>
    <row r="3" spans="1:32" x14ac:dyDescent="0.3">
      <c r="A3">
        <v>101</v>
      </c>
      <c r="B3" t="s">
        <v>17</v>
      </c>
      <c r="C3" t="s">
        <v>18</v>
      </c>
      <c r="D3" s="1">
        <v>45843</v>
      </c>
      <c r="E3" t="s">
        <v>19</v>
      </c>
      <c r="F3" t="s">
        <v>20</v>
      </c>
      <c r="G3" s="6">
        <f t="shared" si="0"/>
        <v>2</v>
      </c>
      <c r="H3" s="2">
        <v>621.52978021978015</v>
      </c>
      <c r="I3" t="s">
        <v>21</v>
      </c>
      <c r="J3" t="s">
        <v>22</v>
      </c>
      <c r="K3" s="2">
        <v>1243.0595604395603</v>
      </c>
      <c r="L3" s="2"/>
      <c r="M3" s="2"/>
      <c r="N3"/>
      <c r="O3" s="5">
        <v>5</v>
      </c>
      <c r="P3">
        <v>7</v>
      </c>
      <c r="Q3">
        <v>2025</v>
      </c>
      <c r="R3" s="1">
        <f t="shared" si="1"/>
        <v>45843</v>
      </c>
      <c r="T3">
        <v>2</v>
      </c>
      <c r="U3">
        <f t="shared" ref="U3:U67" si="5">IFERROR(VALUE(T3),"")</f>
        <v>2</v>
      </c>
      <c r="V3">
        <f t="shared" ref="V3:V66" si="6">IF(U3&lt;0,ABS(U3),U3)</f>
        <v>2</v>
      </c>
      <c r="W3">
        <f t="shared" ref="W3:W66" si="7">IF(V3="","",V3)</f>
        <v>2</v>
      </c>
      <c r="X3">
        <f t="shared" ref="X3:X66" si="8">IF(OR(W3="",W3=0),"",W3)</f>
        <v>2</v>
      </c>
      <c r="Z3" s="6">
        <f t="shared" ref="Z3:Z66" si="9">IF(OR(W3="",W3=0),AVERAGEIF(W:W,"&gt;0"),W3)</f>
        <v>2</v>
      </c>
      <c r="AA3">
        <f t="shared" si="2"/>
        <v>621.52978021978004</v>
      </c>
      <c r="AB3" s="2">
        <f t="shared" ref="AB3:AB66" si="10">IF(AA3="",AVERAGE(AA:AA),AA3)</f>
        <v>621.52978021978004</v>
      </c>
      <c r="AC3" s="2">
        <f t="shared" si="3"/>
        <v>1243.0595604395603</v>
      </c>
      <c r="AD3" t="str">
        <f t="shared" si="4"/>
        <v>Electronics</v>
      </c>
      <c r="AE3" t="str">
        <f t="shared" ref="AE3:AE66" si="11">PROPER(TRIM(F3))</f>
        <v>Electronics</v>
      </c>
      <c r="AF3" t="str" cm="1">
        <f t="array" ref="AF3">IF(OR(F3=0,F3="0"),   _xlfn.XLOOKUP(E3, _xlfn._xlws.FILTER(E:E, (F:F&lt;&gt;"0")*(F:F&lt;&gt;0)), _xlfn._xlws.FILTER(F:F, (F:F&lt;&gt;"0")*(F:F&lt;&gt;0)), ""),F3)</f>
        <v>Electronics</v>
      </c>
    </row>
    <row r="4" spans="1:32" x14ac:dyDescent="0.3">
      <c r="A4">
        <v>102</v>
      </c>
      <c r="B4" t="s">
        <v>23</v>
      </c>
      <c r="C4" t="s">
        <v>24</v>
      </c>
      <c r="D4" s="1">
        <v>45649</v>
      </c>
      <c r="E4" t="s">
        <v>25</v>
      </c>
      <c r="F4" t="s">
        <v>26</v>
      </c>
      <c r="G4" s="6">
        <f t="shared" si="0"/>
        <v>1</v>
      </c>
      <c r="H4" s="2">
        <v>389.05</v>
      </c>
      <c r="I4" t="s">
        <v>21</v>
      </c>
      <c r="J4" t="s">
        <v>27</v>
      </c>
      <c r="K4" s="2">
        <v>389.05</v>
      </c>
      <c r="L4" s="2"/>
      <c r="M4" s="2"/>
      <c r="N4"/>
      <c r="O4" s="4">
        <v>23</v>
      </c>
      <c r="P4">
        <v>12</v>
      </c>
      <c r="Q4">
        <v>2024</v>
      </c>
      <c r="R4" s="1">
        <f t="shared" si="1"/>
        <v>45649</v>
      </c>
      <c r="T4">
        <v>1</v>
      </c>
      <c r="U4">
        <f t="shared" si="5"/>
        <v>1</v>
      </c>
      <c r="V4">
        <f t="shared" si="6"/>
        <v>1</v>
      </c>
      <c r="W4">
        <f t="shared" si="7"/>
        <v>1</v>
      </c>
      <c r="X4">
        <f t="shared" si="8"/>
        <v>1</v>
      </c>
      <c r="Z4" s="6">
        <f t="shared" si="9"/>
        <v>1</v>
      </c>
      <c r="AA4">
        <f t="shared" si="2"/>
        <v>389.05</v>
      </c>
      <c r="AB4" s="2">
        <f t="shared" si="10"/>
        <v>389.05</v>
      </c>
      <c r="AC4" s="2">
        <f t="shared" si="3"/>
        <v>389.05</v>
      </c>
      <c r="AD4" t="str">
        <f t="shared" si="4"/>
        <v>Sports</v>
      </c>
      <c r="AE4" t="str">
        <f t="shared" si="11"/>
        <v>Sports</v>
      </c>
      <c r="AF4" t="str" cm="1">
        <f t="array" ref="AF4">IF(OR(F4=0,F4="0"),   _xlfn.XLOOKUP(E4, _xlfn._xlws.FILTER(E:E, (F:F&lt;&gt;"0")*(F:F&lt;&gt;0)), _xlfn._xlws.FILTER(F:F, (F:F&lt;&gt;"0")*(F:F&lt;&gt;0)), ""),F4)</f>
        <v>Sports</v>
      </c>
    </row>
    <row r="5" spans="1:32" x14ac:dyDescent="0.3">
      <c r="A5">
        <v>103</v>
      </c>
      <c r="B5" t="s">
        <v>28</v>
      </c>
      <c r="C5" t="s">
        <v>29</v>
      </c>
      <c r="D5" s="1">
        <v>45735</v>
      </c>
      <c r="E5" t="s">
        <v>30</v>
      </c>
      <c r="F5" t="s">
        <v>31</v>
      </c>
      <c r="G5" s="6">
        <f t="shared" si="0"/>
        <v>5</v>
      </c>
      <c r="H5" s="2">
        <v>233.92</v>
      </c>
      <c r="I5" t="s">
        <v>21</v>
      </c>
      <c r="J5" t="s">
        <v>22</v>
      </c>
      <c r="K5" s="2">
        <v>1169.5999999999999</v>
      </c>
      <c r="L5" s="2"/>
      <c r="M5" s="2"/>
      <c r="N5"/>
      <c r="O5" s="5">
        <v>19</v>
      </c>
      <c r="P5">
        <v>3</v>
      </c>
      <c r="Q5">
        <v>2025</v>
      </c>
      <c r="R5" s="1">
        <f t="shared" si="1"/>
        <v>45735</v>
      </c>
      <c r="T5">
        <v>5</v>
      </c>
      <c r="U5">
        <f t="shared" si="5"/>
        <v>5</v>
      </c>
      <c r="V5">
        <f t="shared" si="6"/>
        <v>5</v>
      </c>
      <c r="W5">
        <f t="shared" si="7"/>
        <v>5</v>
      </c>
      <c r="X5">
        <f t="shared" si="8"/>
        <v>5</v>
      </c>
      <c r="Z5" s="6">
        <f t="shared" si="9"/>
        <v>5</v>
      </c>
      <c r="AA5">
        <f t="shared" si="2"/>
        <v>233.92</v>
      </c>
      <c r="AB5" s="2">
        <f t="shared" si="10"/>
        <v>233.92</v>
      </c>
      <c r="AC5" s="2">
        <f t="shared" si="3"/>
        <v>1169.5999999999999</v>
      </c>
      <c r="AD5" t="str">
        <f t="shared" si="4"/>
        <v>Books</v>
      </c>
      <c r="AE5" t="str">
        <f t="shared" si="11"/>
        <v>Books</v>
      </c>
      <c r="AF5" t="str" cm="1">
        <f t="array" ref="AF5">IF(OR(F5=0,F5="0"),   _xlfn.XLOOKUP(E5, _xlfn._xlws.FILTER(E:E, (F:F&lt;&gt;"0")*(F:F&lt;&gt;0)), _xlfn._xlws.FILTER(F:F, (F:F&lt;&gt;"0")*(F:F&lt;&gt;0)), ""),F5)</f>
        <v>Books</v>
      </c>
    </row>
    <row r="6" spans="1:32" x14ac:dyDescent="0.3">
      <c r="A6">
        <v>104</v>
      </c>
      <c r="B6" t="s">
        <v>32</v>
      </c>
      <c r="C6" t="s">
        <v>33</v>
      </c>
      <c r="D6" s="1">
        <v>45950</v>
      </c>
      <c r="E6" t="s">
        <v>34</v>
      </c>
      <c r="F6" t="s">
        <v>31</v>
      </c>
      <c r="G6" s="6">
        <f t="shared" si="0"/>
        <v>1</v>
      </c>
      <c r="H6" s="2">
        <v>552.51</v>
      </c>
      <c r="I6" t="s">
        <v>15</v>
      </c>
      <c r="J6" t="s">
        <v>22</v>
      </c>
      <c r="K6" s="2">
        <v>552.51</v>
      </c>
      <c r="L6" s="2"/>
      <c r="M6" s="2"/>
      <c r="N6"/>
      <c r="O6" s="4">
        <v>20</v>
      </c>
      <c r="P6">
        <v>10</v>
      </c>
      <c r="Q6">
        <v>2025</v>
      </c>
      <c r="R6" s="1">
        <f t="shared" si="1"/>
        <v>45950</v>
      </c>
      <c r="T6">
        <v>1</v>
      </c>
      <c r="U6">
        <f t="shared" si="5"/>
        <v>1</v>
      </c>
      <c r="V6">
        <f t="shared" si="6"/>
        <v>1</v>
      </c>
      <c r="W6">
        <f t="shared" si="7"/>
        <v>1</v>
      </c>
      <c r="X6">
        <f t="shared" si="8"/>
        <v>1</v>
      </c>
      <c r="Z6" s="6">
        <f t="shared" si="9"/>
        <v>1</v>
      </c>
      <c r="AA6">
        <f t="shared" si="2"/>
        <v>552.51</v>
      </c>
      <c r="AB6" s="2">
        <f t="shared" si="10"/>
        <v>552.51</v>
      </c>
      <c r="AC6" s="2">
        <f t="shared" si="3"/>
        <v>552.51</v>
      </c>
      <c r="AD6" t="str">
        <f t="shared" si="4"/>
        <v>Books</v>
      </c>
      <c r="AE6" t="str">
        <f t="shared" si="11"/>
        <v>Books</v>
      </c>
      <c r="AF6" t="str" cm="1">
        <f t="array" ref="AF6">IF(OR(F6=0,F6="0"),   _xlfn.XLOOKUP(E6, _xlfn._xlws.FILTER(E:E, (F:F&lt;&gt;"0")*(F:F&lt;&gt;0)), _xlfn._xlws.FILTER(F:F, (F:F&lt;&gt;"0")*(F:F&lt;&gt;0)), ""),F6)</f>
        <v>Books</v>
      </c>
    </row>
    <row r="7" spans="1:32" x14ac:dyDescent="0.3">
      <c r="A7">
        <v>105</v>
      </c>
      <c r="B7" t="s">
        <v>35</v>
      </c>
      <c r="C7" t="s">
        <v>36</v>
      </c>
      <c r="D7" s="1">
        <v>45616</v>
      </c>
      <c r="E7" t="s">
        <v>25</v>
      </c>
      <c r="F7" t="s">
        <v>26</v>
      </c>
      <c r="G7" s="6">
        <f t="shared" si="0"/>
        <v>3</v>
      </c>
      <c r="H7" s="2">
        <v>122.06</v>
      </c>
      <c r="I7" t="s">
        <v>15</v>
      </c>
      <c r="J7" t="s">
        <v>37</v>
      </c>
      <c r="K7" s="2">
        <v>366.18</v>
      </c>
      <c r="L7" s="2"/>
      <c r="M7" s="2"/>
      <c r="N7"/>
      <c r="O7" s="5">
        <v>20</v>
      </c>
      <c r="P7">
        <v>11</v>
      </c>
      <c r="Q7">
        <v>2024</v>
      </c>
      <c r="R7" s="1">
        <f t="shared" si="1"/>
        <v>45616</v>
      </c>
      <c r="T7">
        <v>3</v>
      </c>
      <c r="U7">
        <f t="shared" si="5"/>
        <v>3</v>
      </c>
      <c r="V7">
        <f t="shared" si="6"/>
        <v>3</v>
      </c>
      <c r="W7">
        <f t="shared" si="7"/>
        <v>3</v>
      </c>
      <c r="X7">
        <f t="shared" si="8"/>
        <v>3</v>
      </c>
      <c r="Z7" s="6">
        <f t="shared" si="9"/>
        <v>3</v>
      </c>
      <c r="AA7">
        <f t="shared" si="2"/>
        <v>122.06</v>
      </c>
      <c r="AB7" s="2">
        <f t="shared" si="10"/>
        <v>122.06</v>
      </c>
      <c r="AC7" s="2">
        <f t="shared" si="3"/>
        <v>366.18</v>
      </c>
      <c r="AD7" t="str">
        <f t="shared" si="4"/>
        <v>Sports</v>
      </c>
      <c r="AE7" t="str">
        <f t="shared" si="11"/>
        <v>Sports</v>
      </c>
      <c r="AF7" t="str" cm="1">
        <f t="array" ref="AF7">IF(OR(F7=0,F7="0"),   _xlfn.XLOOKUP(E7, _xlfn._xlws.FILTER(E:E, (F:F&lt;&gt;"0")*(F:F&lt;&gt;0)), _xlfn._xlws.FILTER(F:F, (F:F&lt;&gt;"0")*(F:F&lt;&gt;0)), ""),F7)</f>
        <v>Sports</v>
      </c>
    </row>
    <row r="8" spans="1:32" x14ac:dyDescent="0.3">
      <c r="A8">
        <v>106</v>
      </c>
      <c r="B8" t="s">
        <v>38</v>
      </c>
      <c r="C8" t="s">
        <v>39</v>
      </c>
      <c r="D8" s="1">
        <v>45690</v>
      </c>
      <c r="E8" t="s">
        <v>13</v>
      </c>
      <c r="F8" t="s">
        <v>14</v>
      </c>
      <c r="G8" s="6">
        <f t="shared" si="0"/>
        <v>3.0744680851063828</v>
      </c>
      <c r="H8" s="2">
        <v>978.63</v>
      </c>
      <c r="I8" t="s">
        <v>40</v>
      </c>
      <c r="J8" t="s">
        <v>22</v>
      </c>
      <c r="K8" s="2">
        <v>3008.7667021276593</v>
      </c>
      <c r="L8" s="2"/>
      <c r="M8" s="2"/>
      <c r="N8"/>
      <c r="O8" s="4">
        <v>2</v>
      </c>
      <c r="P8">
        <v>2</v>
      </c>
      <c r="Q8">
        <v>2025</v>
      </c>
      <c r="R8" s="1">
        <f t="shared" si="1"/>
        <v>45690</v>
      </c>
      <c r="U8">
        <f>IFERROR(VALUE(T8),"")</f>
        <v>0</v>
      </c>
      <c r="V8">
        <f t="shared" si="6"/>
        <v>0</v>
      </c>
      <c r="W8">
        <f t="shared" si="7"/>
        <v>0</v>
      </c>
      <c r="X8" t="str">
        <f t="shared" si="8"/>
        <v/>
      </c>
      <c r="Z8" s="6">
        <f t="shared" si="9"/>
        <v>3.0744680851063828</v>
      </c>
      <c r="AA8">
        <f t="shared" si="2"/>
        <v>978.63</v>
      </c>
      <c r="AB8" s="2">
        <f t="shared" si="10"/>
        <v>978.63</v>
      </c>
      <c r="AC8" s="2">
        <f t="shared" si="3"/>
        <v>3008.7667021276593</v>
      </c>
      <c r="AD8" t="str">
        <f t="shared" si="4"/>
        <v>Home</v>
      </c>
      <c r="AE8" t="str">
        <f t="shared" si="11"/>
        <v>Home</v>
      </c>
      <c r="AF8" t="str" cm="1">
        <f t="array" ref="AF8">IF(OR(F8=0,F8="0"),   _xlfn.XLOOKUP(E8, _xlfn._xlws.FILTER(E:E, (F:F&lt;&gt;"0")*(F:F&lt;&gt;0)), _xlfn._xlws.FILTER(F:F, (F:F&lt;&gt;"0")*(F:F&lt;&gt;0)), ""),F8)</f>
        <v>Home</v>
      </c>
    </row>
    <row r="9" spans="1:32" x14ac:dyDescent="0.3">
      <c r="A9">
        <v>107</v>
      </c>
      <c r="B9" t="s">
        <v>41</v>
      </c>
      <c r="C9" t="s">
        <v>42</v>
      </c>
      <c r="D9" s="1">
        <v>45660</v>
      </c>
      <c r="E9" t="s">
        <v>34</v>
      </c>
      <c r="F9" t="s">
        <v>31</v>
      </c>
      <c r="G9" s="6">
        <f t="shared" si="0"/>
        <v>5</v>
      </c>
      <c r="H9" s="2">
        <v>587.67999999999995</v>
      </c>
      <c r="I9" t="s">
        <v>21</v>
      </c>
      <c r="J9" t="s">
        <v>43</v>
      </c>
      <c r="K9" s="2">
        <v>2938.3999999999996</v>
      </c>
      <c r="L9" s="2"/>
      <c r="M9" s="2"/>
      <c r="N9"/>
      <c r="O9" s="5">
        <v>3</v>
      </c>
      <c r="P9">
        <v>1</v>
      </c>
      <c r="Q9">
        <v>2025</v>
      </c>
      <c r="R9" s="1">
        <f t="shared" si="1"/>
        <v>45660</v>
      </c>
      <c r="T9">
        <v>5</v>
      </c>
      <c r="U9">
        <f t="shared" si="5"/>
        <v>5</v>
      </c>
      <c r="V9">
        <f t="shared" si="6"/>
        <v>5</v>
      </c>
      <c r="W9">
        <f t="shared" si="7"/>
        <v>5</v>
      </c>
      <c r="X9">
        <f t="shared" si="8"/>
        <v>5</v>
      </c>
      <c r="Z9" s="6">
        <f t="shared" si="9"/>
        <v>5</v>
      </c>
      <c r="AA9">
        <f t="shared" si="2"/>
        <v>587.67999999999995</v>
      </c>
      <c r="AB9" s="2">
        <f t="shared" si="10"/>
        <v>587.67999999999995</v>
      </c>
      <c r="AC9" s="2">
        <f t="shared" si="3"/>
        <v>2938.3999999999996</v>
      </c>
      <c r="AD9" t="str">
        <f t="shared" si="4"/>
        <v>Books</v>
      </c>
      <c r="AE9" t="str">
        <f t="shared" si="11"/>
        <v>Books</v>
      </c>
      <c r="AF9" t="str" cm="1">
        <f t="array" ref="AF9">IF(OR(F9=0,F9="0"),   _xlfn.XLOOKUP(E9, _xlfn._xlws.FILTER(E:E, (F:F&lt;&gt;"0")*(F:F&lt;&gt;0)), _xlfn._xlws.FILTER(F:F, (F:F&lt;&gt;"0")*(F:F&lt;&gt;0)), ""),F9)</f>
        <v>Books</v>
      </c>
    </row>
    <row r="10" spans="1:32" x14ac:dyDescent="0.3">
      <c r="A10">
        <v>108</v>
      </c>
      <c r="B10" t="s">
        <v>44</v>
      </c>
      <c r="C10" t="s">
        <v>45</v>
      </c>
      <c r="D10" s="1">
        <v>45953</v>
      </c>
      <c r="E10" t="s">
        <v>30</v>
      </c>
      <c r="F10" t="s">
        <v>31</v>
      </c>
      <c r="G10" s="6">
        <f t="shared" si="0"/>
        <v>1</v>
      </c>
      <c r="H10" s="2">
        <v>600.29</v>
      </c>
      <c r="I10" t="s">
        <v>15</v>
      </c>
      <c r="J10" t="s">
        <v>22</v>
      </c>
      <c r="K10" s="2">
        <v>600.29</v>
      </c>
      <c r="L10" s="2"/>
      <c r="M10" s="2"/>
      <c r="N10"/>
      <c r="O10" s="4">
        <v>23</v>
      </c>
      <c r="P10">
        <v>10</v>
      </c>
      <c r="Q10">
        <v>2025</v>
      </c>
      <c r="R10" s="1">
        <f t="shared" si="1"/>
        <v>45953</v>
      </c>
      <c r="T10">
        <v>1</v>
      </c>
      <c r="U10">
        <f t="shared" si="5"/>
        <v>1</v>
      </c>
      <c r="V10">
        <f t="shared" si="6"/>
        <v>1</v>
      </c>
      <c r="W10">
        <f t="shared" si="7"/>
        <v>1</v>
      </c>
      <c r="X10">
        <f t="shared" si="8"/>
        <v>1</v>
      </c>
      <c r="Z10" s="6">
        <f t="shared" si="9"/>
        <v>1</v>
      </c>
      <c r="AA10">
        <f t="shared" si="2"/>
        <v>600.29</v>
      </c>
      <c r="AB10" s="2">
        <f t="shared" si="10"/>
        <v>600.29</v>
      </c>
      <c r="AC10" s="2">
        <f t="shared" si="3"/>
        <v>600.29</v>
      </c>
      <c r="AD10" t="str">
        <f t="shared" si="4"/>
        <v>Books</v>
      </c>
      <c r="AE10" t="str">
        <f t="shared" si="11"/>
        <v>Books</v>
      </c>
      <c r="AF10" t="str" cm="1">
        <f t="array" ref="AF10">IF(OR(F10=0,F10="0"),   _xlfn.XLOOKUP(E10, _xlfn._xlws.FILTER(E:E, (F:F&lt;&gt;"0")*(F:F&lt;&gt;0)), _xlfn._xlws.FILTER(F:F, (F:F&lt;&gt;"0")*(F:F&lt;&gt;0)), ""),F10)</f>
        <v>Books</v>
      </c>
    </row>
    <row r="11" spans="1:32" x14ac:dyDescent="0.3">
      <c r="A11">
        <v>109</v>
      </c>
      <c r="B11" t="s">
        <v>46</v>
      </c>
      <c r="C11" t="s">
        <v>47</v>
      </c>
      <c r="D11" s="1">
        <v>45780</v>
      </c>
      <c r="E11" t="s">
        <v>25</v>
      </c>
      <c r="F11" t="s">
        <v>26</v>
      </c>
      <c r="G11" s="6">
        <f t="shared" si="0"/>
        <v>5</v>
      </c>
      <c r="H11" s="2">
        <v>168.34</v>
      </c>
      <c r="I11" t="s">
        <v>48</v>
      </c>
      <c r="J11" t="s">
        <v>16</v>
      </c>
      <c r="K11" s="2">
        <v>841.7</v>
      </c>
      <c r="L11" s="2"/>
      <c r="M11" s="2"/>
      <c r="N11"/>
      <c r="O11" s="5">
        <v>3</v>
      </c>
      <c r="P11">
        <v>5</v>
      </c>
      <c r="Q11">
        <v>2025</v>
      </c>
      <c r="R11" s="1">
        <f t="shared" si="1"/>
        <v>45780</v>
      </c>
      <c r="T11">
        <v>5</v>
      </c>
      <c r="U11">
        <f t="shared" si="5"/>
        <v>5</v>
      </c>
      <c r="V11">
        <f t="shared" si="6"/>
        <v>5</v>
      </c>
      <c r="W11">
        <f t="shared" si="7"/>
        <v>5</v>
      </c>
      <c r="X11">
        <f t="shared" si="8"/>
        <v>5</v>
      </c>
      <c r="Z11" s="6">
        <f t="shared" si="9"/>
        <v>5</v>
      </c>
      <c r="AA11">
        <f t="shared" si="2"/>
        <v>168.34</v>
      </c>
      <c r="AB11" s="2">
        <f t="shared" si="10"/>
        <v>168.34</v>
      </c>
      <c r="AC11" s="2">
        <f t="shared" si="3"/>
        <v>841.7</v>
      </c>
      <c r="AD11" t="str">
        <f t="shared" si="4"/>
        <v>Sports</v>
      </c>
      <c r="AE11" t="str">
        <f t="shared" si="11"/>
        <v>Sports</v>
      </c>
      <c r="AF11" t="str" cm="1">
        <f t="array" ref="AF11">IF(OR(F11=0,F11="0"),   _xlfn.XLOOKUP(E11, _xlfn._xlws.FILTER(E:E, (F:F&lt;&gt;"0")*(F:F&lt;&gt;0)), _xlfn._xlws.FILTER(F:F, (F:F&lt;&gt;"0")*(F:F&lt;&gt;0)), ""),F11)</f>
        <v>Sports</v>
      </c>
    </row>
    <row r="12" spans="1:32" x14ac:dyDescent="0.3">
      <c r="A12">
        <v>110</v>
      </c>
      <c r="B12" t="s">
        <v>49</v>
      </c>
      <c r="C12" t="s">
        <v>50</v>
      </c>
      <c r="D12" s="1">
        <v>45926</v>
      </c>
      <c r="E12" t="s">
        <v>51</v>
      </c>
      <c r="F12" t="s">
        <v>26</v>
      </c>
      <c r="G12" s="6">
        <f t="shared" si="0"/>
        <v>5</v>
      </c>
      <c r="H12" s="2">
        <v>621.52978021978015</v>
      </c>
      <c r="I12" t="s">
        <v>15</v>
      </c>
      <c r="J12" t="s">
        <v>37</v>
      </c>
      <c r="K12" s="2">
        <v>3107.6489010989008</v>
      </c>
      <c r="L12" s="2"/>
      <c r="M12" s="2"/>
      <c r="N12"/>
      <c r="O12" s="4">
        <v>26</v>
      </c>
      <c r="P12">
        <v>9</v>
      </c>
      <c r="Q12">
        <v>2025</v>
      </c>
      <c r="R12" s="1">
        <f t="shared" si="1"/>
        <v>45926</v>
      </c>
      <c r="T12">
        <v>5</v>
      </c>
      <c r="U12">
        <f t="shared" si="5"/>
        <v>5</v>
      </c>
      <c r="V12">
        <f t="shared" si="6"/>
        <v>5</v>
      </c>
      <c r="W12">
        <f t="shared" si="7"/>
        <v>5</v>
      </c>
      <c r="X12">
        <f t="shared" si="8"/>
        <v>5</v>
      </c>
      <c r="Z12" s="6">
        <f t="shared" si="9"/>
        <v>5</v>
      </c>
      <c r="AA12">
        <f t="shared" si="2"/>
        <v>621.52978021978004</v>
      </c>
      <c r="AB12" s="2">
        <f t="shared" si="10"/>
        <v>621.52978021978004</v>
      </c>
      <c r="AC12" s="2">
        <f t="shared" si="3"/>
        <v>3107.6489010989008</v>
      </c>
      <c r="AD12" t="str">
        <f t="shared" si="4"/>
        <v>Sports</v>
      </c>
      <c r="AE12" t="str">
        <f t="shared" si="11"/>
        <v>Sports</v>
      </c>
      <c r="AF12" t="str" cm="1">
        <f t="array" ref="AF12">IF(OR(F12=0,F12="0"),   _xlfn.XLOOKUP(E12, _xlfn._xlws.FILTER(E:E, (F:F&lt;&gt;"0")*(F:F&lt;&gt;0)), _xlfn._xlws.FILTER(F:F, (F:F&lt;&gt;"0")*(F:F&lt;&gt;0)), ""),F12)</f>
        <v>Sports</v>
      </c>
    </row>
    <row r="13" spans="1:32" x14ac:dyDescent="0.3">
      <c r="A13">
        <v>111</v>
      </c>
      <c r="B13" t="s">
        <v>52</v>
      </c>
      <c r="C13" t="s">
        <v>53</v>
      </c>
      <c r="D13" s="1">
        <v>45952</v>
      </c>
      <c r="E13" t="s">
        <v>54</v>
      </c>
      <c r="F13" t="s">
        <v>31</v>
      </c>
      <c r="G13" s="6">
        <f t="shared" si="0"/>
        <v>2</v>
      </c>
      <c r="H13" s="2">
        <v>865.77</v>
      </c>
      <c r="I13" t="s">
        <v>48</v>
      </c>
      <c r="J13" t="s">
        <v>43</v>
      </c>
      <c r="K13" s="2">
        <v>1731.54</v>
      </c>
      <c r="L13" s="2"/>
      <c r="M13" s="2"/>
      <c r="N13"/>
      <c r="O13" s="5">
        <v>22</v>
      </c>
      <c r="P13">
        <v>10</v>
      </c>
      <c r="Q13">
        <v>2025</v>
      </c>
      <c r="R13" s="1">
        <f t="shared" si="1"/>
        <v>45952</v>
      </c>
      <c r="T13">
        <v>2</v>
      </c>
      <c r="U13">
        <f t="shared" si="5"/>
        <v>2</v>
      </c>
      <c r="V13">
        <f t="shared" si="6"/>
        <v>2</v>
      </c>
      <c r="W13">
        <f t="shared" si="7"/>
        <v>2</v>
      </c>
      <c r="X13">
        <f t="shared" si="8"/>
        <v>2</v>
      </c>
      <c r="Z13" s="6">
        <f t="shared" si="9"/>
        <v>2</v>
      </c>
      <c r="AA13">
        <f t="shared" si="2"/>
        <v>865.77</v>
      </c>
      <c r="AB13" s="2">
        <f t="shared" si="10"/>
        <v>865.77</v>
      </c>
      <c r="AC13" s="2">
        <f t="shared" si="3"/>
        <v>1731.54</v>
      </c>
      <c r="AD13" t="str">
        <f t="shared" si="4"/>
        <v>Books</v>
      </c>
      <c r="AE13" t="str">
        <f t="shared" si="11"/>
        <v>Books</v>
      </c>
      <c r="AF13" t="str" cm="1">
        <f t="array" ref="AF13">IF(OR(F13=0,F13="0"),   _xlfn.XLOOKUP(E13, _xlfn._xlws.FILTER(E:E, (F:F&lt;&gt;"0")*(F:F&lt;&gt;0)), _xlfn._xlws.FILTER(F:F, (F:F&lt;&gt;"0")*(F:F&lt;&gt;0)), ""),F13)</f>
        <v>Books</v>
      </c>
    </row>
    <row r="14" spans="1:32" x14ac:dyDescent="0.3">
      <c r="A14">
        <v>112</v>
      </c>
      <c r="B14" t="s">
        <v>55</v>
      </c>
      <c r="C14" t="s">
        <v>56</v>
      </c>
      <c r="D14" s="1">
        <v>45718</v>
      </c>
      <c r="E14" t="s">
        <v>57</v>
      </c>
      <c r="F14" t="s">
        <v>58</v>
      </c>
      <c r="G14" s="6">
        <f t="shared" si="0"/>
        <v>4</v>
      </c>
      <c r="H14" s="2">
        <v>752.13</v>
      </c>
      <c r="I14" t="s">
        <v>40</v>
      </c>
      <c r="J14" t="s">
        <v>27</v>
      </c>
      <c r="K14" s="2">
        <v>3008.52</v>
      </c>
      <c r="L14" s="2"/>
      <c r="M14" s="2"/>
      <c r="N14"/>
      <c r="O14" s="4">
        <v>2</v>
      </c>
      <c r="P14">
        <v>3</v>
      </c>
      <c r="Q14">
        <v>2025</v>
      </c>
      <c r="R14" s="1">
        <f t="shared" si="1"/>
        <v>45718</v>
      </c>
      <c r="T14">
        <v>4</v>
      </c>
      <c r="U14">
        <f t="shared" si="5"/>
        <v>4</v>
      </c>
      <c r="V14">
        <f t="shared" si="6"/>
        <v>4</v>
      </c>
      <c r="W14">
        <f t="shared" si="7"/>
        <v>4</v>
      </c>
      <c r="X14">
        <f t="shared" si="8"/>
        <v>4</v>
      </c>
      <c r="Z14" s="6">
        <f t="shared" si="9"/>
        <v>4</v>
      </c>
      <c r="AA14">
        <f t="shared" si="2"/>
        <v>752.13</v>
      </c>
      <c r="AB14" s="2">
        <f t="shared" si="10"/>
        <v>752.13</v>
      </c>
      <c r="AC14" s="2">
        <f t="shared" si="3"/>
        <v>3008.52</v>
      </c>
      <c r="AD14" t="str">
        <f t="shared" si="4"/>
        <v>Clothing</v>
      </c>
      <c r="AE14" t="str">
        <f t="shared" si="11"/>
        <v>Clothing</v>
      </c>
      <c r="AF14" t="str" cm="1">
        <f t="array" ref="AF14">IF(OR(F14=0,F14="0"),   _xlfn.XLOOKUP(E14, _xlfn._xlws.FILTER(E:E, (F:F&lt;&gt;"0")*(F:F&lt;&gt;0)), _xlfn._xlws.FILTER(F:F, (F:F&lt;&gt;"0")*(F:F&lt;&gt;0)), ""),F14)</f>
        <v>Clothing</v>
      </c>
    </row>
    <row r="15" spans="1:32" x14ac:dyDescent="0.3">
      <c r="A15">
        <v>113</v>
      </c>
      <c r="B15" t="s">
        <v>59</v>
      </c>
      <c r="C15" t="s">
        <v>60</v>
      </c>
      <c r="D15" s="1">
        <v>45862</v>
      </c>
      <c r="E15" t="s">
        <v>61</v>
      </c>
      <c r="F15" t="s">
        <v>31</v>
      </c>
      <c r="G15" s="6">
        <f t="shared" si="0"/>
        <v>1</v>
      </c>
      <c r="H15" s="2">
        <v>411.81</v>
      </c>
      <c r="I15" t="s">
        <v>48</v>
      </c>
      <c r="J15" t="s">
        <v>22</v>
      </c>
      <c r="K15" s="2">
        <v>411.81</v>
      </c>
      <c r="L15" s="2"/>
      <c r="M15" s="2"/>
      <c r="N15"/>
      <c r="O15" s="5">
        <v>24</v>
      </c>
      <c r="P15">
        <v>7</v>
      </c>
      <c r="Q15">
        <v>2025</v>
      </c>
      <c r="R15" s="1">
        <f t="shared" si="1"/>
        <v>45862</v>
      </c>
      <c r="T15">
        <v>1</v>
      </c>
      <c r="U15">
        <f t="shared" si="5"/>
        <v>1</v>
      </c>
      <c r="V15">
        <f t="shared" si="6"/>
        <v>1</v>
      </c>
      <c r="W15">
        <f t="shared" si="7"/>
        <v>1</v>
      </c>
      <c r="X15">
        <f t="shared" si="8"/>
        <v>1</v>
      </c>
      <c r="Z15" s="6">
        <f t="shared" si="9"/>
        <v>1</v>
      </c>
      <c r="AA15">
        <f t="shared" si="2"/>
        <v>411.81</v>
      </c>
      <c r="AB15" s="2">
        <f t="shared" si="10"/>
        <v>411.81</v>
      </c>
      <c r="AC15" s="2">
        <f t="shared" si="3"/>
        <v>411.81</v>
      </c>
      <c r="AD15" t="str">
        <f t="shared" si="4"/>
        <v>Books</v>
      </c>
      <c r="AE15" t="str">
        <f t="shared" si="11"/>
        <v>Books</v>
      </c>
      <c r="AF15" t="str" cm="1">
        <f t="array" ref="AF15">IF(OR(F15=0,F15="0"),   _xlfn.XLOOKUP(E15, _xlfn._xlws.FILTER(E:E, (F:F&lt;&gt;"0")*(F:F&lt;&gt;0)), _xlfn._xlws.FILTER(F:F, (F:F&lt;&gt;"0")*(F:F&lt;&gt;0)), ""),F15)</f>
        <v>Books</v>
      </c>
    </row>
    <row r="16" spans="1:32" x14ac:dyDescent="0.3">
      <c r="A16">
        <v>114</v>
      </c>
      <c r="B16" t="s">
        <v>62</v>
      </c>
      <c r="C16" t="s">
        <v>63</v>
      </c>
      <c r="D16" s="1">
        <v>44931</v>
      </c>
      <c r="E16" t="s">
        <v>19</v>
      </c>
      <c r="F16" t="s">
        <v>20</v>
      </c>
      <c r="G16" s="6">
        <f t="shared" si="0"/>
        <v>2</v>
      </c>
      <c r="H16" s="2">
        <v>413.13</v>
      </c>
      <c r="I16" t="s">
        <v>15</v>
      </c>
      <c r="J16" t="s">
        <v>16</v>
      </c>
      <c r="K16" s="2">
        <v>826.26</v>
      </c>
      <c r="L16" s="2"/>
      <c r="M16" s="2"/>
      <c r="N16"/>
      <c r="O16" s="4" t="s">
        <v>64</v>
      </c>
      <c r="R16" s="1" t="e">
        <f t="shared" si="1"/>
        <v>#VALUE!</v>
      </c>
      <c r="T16">
        <v>2</v>
      </c>
      <c r="U16">
        <f t="shared" si="5"/>
        <v>2</v>
      </c>
      <c r="V16">
        <f t="shared" si="6"/>
        <v>2</v>
      </c>
      <c r="W16">
        <f t="shared" si="7"/>
        <v>2</v>
      </c>
      <c r="X16">
        <f t="shared" si="8"/>
        <v>2</v>
      </c>
      <c r="Z16" s="6">
        <f t="shared" si="9"/>
        <v>2</v>
      </c>
      <c r="AA16">
        <f t="shared" si="2"/>
        <v>413.13</v>
      </c>
      <c r="AB16" s="2">
        <f t="shared" si="10"/>
        <v>413.13</v>
      </c>
      <c r="AC16" s="2">
        <f t="shared" si="3"/>
        <v>826.26</v>
      </c>
      <c r="AD16" t="str">
        <f t="shared" si="4"/>
        <v>Electronics</v>
      </c>
      <c r="AE16" t="str">
        <f t="shared" si="11"/>
        <v>Electronics</v>
      </c>
      <c r="AF16" t="str" cm="1">
        <f t="array" ref="AF16">IF(OR(F16=0,F16="0"),   _xlfn.XLOOKUP(E16, _xlfn._xlws.FILTER(E:E, (F:F&lt;&gt;"0")*(F:F&lt;&gt;0)), _xlfn._xlws.FILTER(F:F, (F:F&lt;&gt;"0")*(F:F&lt;&gt;0)), ""),F16)</f>
        <v>Electronics</v>
      </c>
    </row>
    <row r="17" spans="1:32" x14ac:dyDescent="0.3">
      <c r="A17">
        <v>115</v>
      </c>
      <c r="B17" t="s">
        <v>65</v>
      </c>
      <c r="C17" t="s">
        <v>66</v>
      </c>
      <c r="D17" s="1">
        <v>45667</v>
      </c>
      <c r="E17" t="s">
        <v>61</v>
      </c>
      <c r="F17" t="s">
        <v>31</v>
      </c>
      <c r="G17" s="6">
        <f t="shared" si="0"/>
        <v>2</v>
      </c>
      <c r="H17" s="2">
        <v>796.84</v>
      </c>
      <c r="I17" t="s">
        <v>15</v>
      </c>
      <c r="J17" t="s">
        <v>43</v>
      </c>
      <c r="K17" s="2">
        <v>1593.68</v>
      </c>
      <c r="L17" s="2"/>
      <c r="M17" s="2"/>
      <c r="N17"/>
      <c r="O17" s="5">
        <v>10</v>
      </c>
      <c r="P17">
        <v>1</v>
      </c>
      <c r="Q17">
        <v>2025</v>
      </c>
      <c r="R17" s="1">
        <f t="shared" si="1"/>
        <v>45667</v>
      </c>
      <c r="T17">
        <v>2</v>
      </c>
      <c r="U17">
        <f t="shared" si="5"/>
        <v>2</v>
      </c>
      <c r="V17">
        <f t="shared" si="6"/>
        <v>2</v>
      </c>
      <c r="W17">
        <f t="shared" si="7"/>
        <v>2</v>
      </c>
      <c r="X17">
        <f t="shared" si="8"/>
        <v>2</v>
      </c>
      <c r="Z17" s="6">
        <f t="shared" si="9"/>
        <v>2</v>
      </c>
      <c r="AA17">
        <f t="shared" si="2"/>
        <v>796.84</v>
      </c>
      <c r="AB17" s="2">
        <f t="shared" si="10"/>
        <v>796.84</v>
      </c>
      <c r="AC17" s="2">
        <f t="shared" si="3"/>
        <v>1593.68</v>
      </c>
      <c r="AD17" t="str">
        <f t="shared" si="4"/>
        <v>Books</v>
      </c>
      <c r="AE17" t="str">
        <f t="shared" si="11"/>
        <v>Books</v>
      </c>
      <c r="AF17" t="str" cm="1">
        <f t="array" ref="AF17">IF(OR(F17=0,F17="0"),   _xlfn.XLOOKUP(E17, _xlfn._xlws.FILTER(E:E, (F:F&lt;&gt;"0")*(F:F&lt;&gt;0)), _xlfn._xlws.FILTER(F:F, (F:F&lt;&gt;"0")*(F:F&lt;&gt;0)), ""),F17)</f>
        <v>Books</v>
      </c>
    </row>
    <row r="18" spans="1:32" x14ac:dyDescent="0.3">
      <c r="A18">
        <v>116</v>
      </c>
      <c r="B18" t="s">
        <v>67</v>
      </c>
      <c r="C18" t="s">
        <v>68</v>
      </c>
      <c r="D18" s="1">
        <v>45960</v>
      </c>
      <c r="E18" t="s">
        <v>69</v>
      </c>
      <c r="F18" t="s">
        <v>14</v>
      </c>
      <c r="G18" s="6">
        <f t="shared" si="0"/>
        <v>4</v>
      </c>
      <c r="H18" s="2">
        <v>621.52978021978015</v>
      </c>
      <c r="I18" t="s">
        <v>15</v>
      </c>
      <c r="J18" t="s">
        <v>22</v>
      </c>
      <c r="K18" s="2">
        <v>2486.1191208791206</v>
      </c>
      <c r="L18" s="2"/>
      <c r="M18" s="2"/>
      <c r="N18"/>
      <c r="O18" s="4">
        <v>30</v>
      </c>
      <c r="P18">
        <v>10</v>
      </c>
      <c r="Q18">
        <v>2025</v>
      </c>
      <c r="R18" s="1">
        <f t="shared" si="1"/>
        <v>45960</v>
      </c>
      <c r="T18">
        <v>4</v>
      </c>
      <c r="U18">
        <f t="shared" si="5"/>
        <v>4</v>
      </c>
      <c r="V18">
        <f t="shared" si="6"/>
        <v>4</v>
      </c>
      <c r="W18">
        <f t="shared" si="7"/>
        <v>4</v>
      </c>
      <c r="X18">
        <f t="shared" si="8"/>
        <v>4</v>
      </c>
      <c r="Z18" s="6">
        <f t="shared" si="9"/>
        <v>4</v>
      </c>
      <c r="AA18">
        <f t="shared" si="2"/>
        <v>621.52978021978004</v>
      </c>
      <c r="AB18" s="2">
        <f t="shared" si="10"/>
        <v>621.52978021978004</v>
      </c>
      <c r="AC18" s="2">
        <f t="shared" si="3"/>
        <v>2486.1191208791206</v>
      </c>
      <c r="AD18" t="str">
        <f t="shared" si="4"/>
        <v>Home</v>
      </c>
      <c r="AE18" t="str">
        <f t="shared" si="11"/>
        <v>Home</v>
      </c>
      <c r="AF18" t="str" cm="1">
        <f t="array" ref="AF18">IF(OR(F18=0,F18="0"),   _xlfn.XLOOKUP(E18, _xlfn._xlws.FILTER(E:E, (F:F&lt;&gt;"0")*(F:F&lt;&gt;0)), _xlfn._xlws.FILTER(F:F, (F:F&lt;&gt;"0")*(F:F&lt;&gt;0)), ""),F18)</f>
        <v>Home</v>
      </c>
    </row>
    <row r="19" spans="1:32" x14ac:dyDescent="0.3">
      <c r="A19">
        <v>117</v>
      </c>
      <c r="B19" t="s">
        <v>70</v>
      </c>
      <c r="C19" t="s">
        <v>71</v>
      </c>
      <c r="D19" s="1">
        <v>45700</v>
      </c>
      <c r="E19" t="s">
        <v>13</v>
      </c>
      <c r="F19" t="s">
        <v>20</v>
      </c>
      <c r="G19" s="6">
        <f t="shared" si="0"/>
        <v>2</v>
      </c>
      <c r="H19" s="2">
        <v>10000</v>
      </c>
      <c r="I19" t="s">
        <v>15</v>
      </c>
      <c r="J19" t="s">
        <v>22</v>
      </c>
      <c r="K19" s="2">
        <v>20000</v>
      </c>
      <c r="L19" s="2"/>
      <c r="M19" s="2"/>
      <c r="N19"/>
      <c r="O19" s="5">
        <v>12</v>
      </c>
      <c r="P19">
        <v>2</v>
      </c>
      <c r="Q19">
        <v>2025</v>
      </c>
      <c r="R19" s="1">
        <f t="shared" si="1"/>
        <v>45700</v>
      </c>
      <c r="T19">
        <v>-2</v>
      </c>
      <c r="U19">
        <f t="shared" si="5"/>
        <v>-2</v>
      </c>
      <c r="V19">
        <f t="shared" si="6"/>
        <v>2</v>
      </c>
      <c r="W19">
        <f t="shared" si="7"/>
        <v>2</v>
      </c>
      <c r="X19">
        <f t="shared" si="8"/>
        <v>2</v>
      </c>
      <c r="Z19" s="6">
        <f t="shared" si="9"/>
        <v>2</v>
      </c>
      <c r="AA19">
        <f t="shared" si="2"/>
        <v>10000</v>
      </c>
      <c r="AB19" s="2">
        <f t="shared" si="10"/>
        <v>10000</v>
      </c>
      <c r="AC19" s="2">
        <f t="shared" si="3"/>
        <v>20000</v>
      </c>
      <c r="AD19" t="str">
        <f t="shared" si="4"/>
        <v>Electronics</v>
      </c>
      <c r="AE19" t="str">
        <f t="shared" si="11"/>
        <v>Electronics</v>
      </c>
      <c r="AF19" t="str" cm="1">
        <f t="array" ref="AF19">IF(OR(F19=0,F19="0"),   _xlfn.XLOOKUP(E19, _xlfn._xlws.FILTER(E:E, (F:F&lt;&gt;"0")*(F:F&lt;&gt;0)), _xlfn._xlws.FILTER(F:F, (F:F&lt;&gt;"0")*(F:F&lt;&gt;0)), ""),F19)</f>
        <v>Electronics</v>
      </c>
    </row>
    <row r="20" spans="1:32" x14ac:dyDescent="0.3">
      <c r="A20">
        <v>118</v>
      </c>
      <c r="B20" t="s">
        <v>72</v>
      </c>
      <c r="C20" t="s">
        <v>73</v>
      </c>
      <c r="D20" s="1">
        <v>45808</v>
      </c>
      <c r="E20" t="s">
        <v>30</v>
      </c>
      <c r="F20" t="s">
        <v>31</v>
      </c>
      <c r="G20" s="6">
        <f t="shared" si="0"/>
        <v>5</v>
      </c>
      <c r="H20" s="2">
        <v>247.82</v>
      </c>
      <c r="I20" t="s">
        <v>21</v>
      </c>
      <c r="J20" t="s">
        <v>22</v>
      </c>
      <c r="K20" s="2">
        <v>1239.0999999999999</v>
      </c>
      <c r="L20" s="2"/>
      <c r="M20" s="2"/>
      <c r="N20"/>
      <c r="O20" s="4">
        <v>31</v>
      </c>
      <c r="P20">
        <v>5</v>
      </c>
      <c r="Q20">
        <v>2025</v>
      </c>
      <c r="R20" s="1">
        <f t="shared" si="1"/>
        <v>45808</v>
      </c>
      <c r="T20">
        <v>5</v>
      </c>
      <c r="U20">
        <f t="shared" si="5"/>
        <v>5</v>
      </c>
      <c r="V20">
        <f t="shared" si="6"/>
        <v>5</v>
      </c>
      <c r="W20">
        <f t="shared" si="7"/>
        <v>5</v>
      </c>
      <c r="X20">
        <f t="shared" si="8"/>
        <v>5</v>
      </c>
      <c r="Z20" s="6">
        <f t="shared" si="9"/>
        <v>5</v>
      </c>
      <c r="AA20">
        <f t="shared" si="2"/>
        <v>247.82</v>
      </c>
      <c r="AB20" s="2">
        <f t="shared" si="10"/>
        <v>247.82</v>
      </c>
      <c r="AC20" s="2">
        <f t="shared" si="3"/>
        <v>1239.0999999999999</v>
      </c>
      <c r="AD20" t="str">
        <f t="shared" si="4"/>
        <v>Books</v>
      </c>
      <c r="AE20" t="str">
        <f t="shared" si="11"/>
        <v>Books</v>
      </c>
      <c r="AF20" t="str" cm="1">
        <f t="array" ref="AF20">IF(OR(F20=0,F20="0"),   _xlfn.XLOOKUP(E20, _xlfn._xlws.FILTER(E:E, (F:F&lt;&gt;"0")*(F:F&lt;&gt;0)), _xlfn._xlws.FILTER(F:F, (F:F&lt;&gt;"0")*(F:F&lt;&gt;0)), ""),F20)</f>
        <v>Books</v>
      </c>
    </row>
    <row r="21" spans="1:32" x14ac:dyDescent="0.3">
      <c r="A21">
        <v>119</v>
      </c>
      <c r="B21" t="s">
        <v>74</v>
      </c>
      <c r="C21" t="s">
        <v>75</v>
      </c>
      <c r="D21" s="1">
        <v>45645</v>
      </c>
      <c r="E21" t="s">
        <v>51</v>
      </c>
      <c r="F21" t="s">
        <v>26</v>
      </c>
      <c r="G21" s="6">
        <f t="shared" si="0"/>
        <v>4</v>
      </c>
      <c r="H21" s="2">
        <v>438.19</v>
      </c>
      <c r="I21" t="s">
        <v>15</v>
      </c>
      <c r="J21" t="s">
        <v>22</v>
      </c>
      <c r="K21" s="2">
        <v>1752.76</v>
      </c>
      <c r="L21" s="2"/>
      <c r="M21" s="2"/>
      <c r="N21"/>
      <c r="O21" s="5">
        <v>19</v>
      </c>
      <c r="P21">
        <v>12</v>
      </c>
      <c r="Q21">
        <v>2024</v>
      </c>
      <c r="R21" s="1">
        <f t="shared" si="1"/>
        <v>45645</v>
      </c>
      <c r="T21">
        <v>4</v>
      </c>
      <c r="U21">
        <f t="shared" si="5"/>
        <v>4</v>
      </c>
      <c r="V21">
        <f t="shared" si="6"/>
        <v>4</v>
      </c>
      <c r="W21">
        <f t="shared" si="7"/>
        <v>4</v>
      </c>
      <c r="X21">
        <f t="shared" si="8"/>
        <v>4</v>
      </c>
      <c r="Z21" s="6">
        <f t="shared" si="9"/>
        <v>4</v>
      </c>
      <c r="AA21">
        <f t="shared" si="2"/>
        <v>438.19</v>
      </c>
      <c r="AB21" s="2">
        <f t="shared" si="10"/>
        <v>438.19</v>
      </c>
      <c r="AC21" s="2">
        <f t="shared" si="3"/>
        <v>1752.76</v>
      </c>
      <c r="AD21" t="str">
        <f t="shared" si="4"/>
        <v>Sports</v>
      </c>
      <c r="AE21" t="str">
        <f t="shared" si="11"/>
        <v>Sports</v>
      </c>
      <c r="AF21" t="str" cm="1">
        <f t="array" ref="AF21">IF(OR(F21=0,F21="0"),   _xlfn.XLOOKUP(E21, _xlfn._xlws.FILTER(E:E, (F:F&lt;&gt;"0")*(F:F&lt;&gt;0)), _xlfn._xlws.FILTER(F:F, (F:F&lt;&gt;"0")*(F:F&lt;&gt;0)), ""),F21)</f>
        <v>Sports</v>
      </c>
    </row>
    <row r="22" spans="1:32" x14ac:dyDescent="0.3">
      <c r="A22">
        <v>120</v>
      </c>
      <c r="B22" t="s">
        <v>76</v>
      </c>
      <c r="C22" t="s">
        <v>77</v>
      </c>
      <c r="D22" s="1">
        <v>45821</v>
      </c>
      <c r="E22" t="s">
        <v>78</v>
      </c>
      <c r="F22" t="s">
        <v>20</v>
      </c>
      <c r="G22" s="6">
        <f t="shared" si="0"/>
        <v>5</v>
      </c>
      <c r="H22" s="2">
        <v>300</v>
      </c>
      <c r="I22" t="s">
        <v>48</v>
      </c>
      <c r="J22" t="s">
        <v>37</v>
      </c>
      <c r="K22" s="2">
        <v>1500</v>
      </c>
      <c r="L22" s="2"/>
      <c r="M22" s="2"/>
      <c r="N22"/>
      <c r="O22" s="4">
        <v>13</v>
      </c>
      <c r="P22">
        <v>6</v>
      </c>
      <c r="Q22">
        <v>2025</v>
      </c>
      <c r="R22" s="1">
        <f t="shared" si="1"/>
        <v>45821</v>
      </c>
      <c r="T22">
        <v>5</v>
      </c>
      <c r="U22">
        <f t="shared" si="5"/>
        <v>5</v>
      </c>
      <c r="V22">
        <f t="shared" si="6"/>
        <v>5</v>
      </c>
      <c r="W22">
        <f t="shared" si="7"/>
        <v>5</v>
      </c>
      <c r="X22">
        <f t="shared" si="8"/>
        <v>5</v>
      </c>
      <c r="Z22" s="6">
        <f t="shared" si="9"/>
        <v>5</v>
      </c>
      <c r="AA22">
        <f t="shared" si="2"/>
        <v>300</v>
      </c>
      <c r="AB22" s="2">
        <f t="shared" si="10"/>
        <v>300</v>
      </c>
      <c r="AC22" s="2">
        <f t="shared" si="3"/>
        <v>1500</v>
      </c>
      <c r="AD22" t="str">
        <f t="shared" si="4"/>
        <v>Electronics</v>
      </c>
      <c r="AE22" t="str">
        <f t="shared" si="11"/>
        <v>Electronics</v>
      </c>
      <c r="AF22" t="str" cm="1">
        <f t="array" ref="AF22">IF(OR(F22=0,F22="0"),   _xlfn.XLOOKUP(E22, _xlfn._xlws.FILTER(E:E, (F:F&lt;&gt;"0")*(F:F&lt;&gt;0)), _xlfn._xlws.FILTER(F:F, (F:F&lt;&gt;"0")*(F:F&lt;&gt;0)), ""),F22)</f>
        <v>Electronics</v>
      </c>
    </row>
    <row r="23" spans="1:32" x14ac:dyDescent="0.3">
      <c r="A23">
        <v>121</v>
      </c>
      <c r="B23" t="s">
        <v>79</v>
      </c>
      <c r="C23" t="s">
        <v>80</v>
      </c>
      <c r="D23" s="1">
        <v>45941</v>
      </c>
      <c r="E23" t="s">
        <v>51</v>
      </c>
      <c r="F23" t="s">
        <v>26</v>
      </c>
      <c r="G23" s="6">
        <f t="shared" si="0"/>
        <v>4</v>
      </c>
      <c r="H23" s="2">
        <v>523.01</v>
      </c>
      <c r="I23" t="s">
        <v>48</v>
      </c>
      <c r="J23" t="s">
        <v>27</v>
      </c>
      <c r="K23" s="2">
        <v>2092.04</v>
      </c>
      <c r="L23" s="2"/>
      <c r="M23" s="2"/>
      <c r="N23"/>
      <c r="O23" s="5">
        <v>11</v>
      </c>
      <c r="P23">
        <v>10</v>
      </c>
      <c r="Q23">
        <v>2025</v>
      </c>
      <c r="R23" s="1">
        <f t="shared" si="1"/>
        <v>45941</v>
      </c>
      <c r="T23">
        <v>4</v>
      </c>
      <c r="U23">
        <f t="shared" si="5"/>
        <v>4</v>
      </c>
      <c r="V23">
        <f t="shared" si="6"/>
        <v>4</v>
      </c>
      <c r="W23">
        <f t="shared" si="7"/>
        <v>4</v>
      </c>
      <c r="X23">
        <f t="shared" si="8"/>
        <v>4</v>
      </c>
      <c r="Z23" s="6">
        <f t="shared" si="9"/>
        <v>4</v>
      </c>
      <c r="AA23">
        <f t="shared" si="2"/>
        <v>523.01</v>
      </c>
      <c r="AB23" s="2">
        <f t="shared" si="10"/>
        <v>523.01</v>
      </c>
      <c r="AC23" s="2">
        <f t="shared" si="3"/>
        <v>2092.04</v>
      </c>
      <c r="AD23" t="str">
        <f t="shared" si="4"/>
        <v>Sports</v>
      </c>
      <c r="AE23" t="str">
        <f t="shared" si="11"/>
        <v>Sports</v>
      </c>
      <c r="AF23" t="str" cm="1">
        <f t="array" ref="AF23">IF(OR(F23=0,F23="0"),   _xlfn.XLOOKUP(E23, _xlfn._xlws.FILTER(E:E, (F:F&lt;&gt;"0")*(F:F&lt;&gt;0)), _xlfn._xlws.FILTER(F:F, (F:F&lt;&gt;"0")*(F:F&lt;&gt;0)), ""),F23)</f>
        <v>Sports</v>
      </c>
    </row>
    <row r="24" spans="1:32" x14ac:dyDescent="0.3">
      <c r="A24">
        <v>122</v>
      </c>
      <c r="B24" t="s">
        <v>81</v>
      </c>
      <c r="C24" t="s">
        <v>82</v>
      </c>
      <c r="D24" s="1">
        <v>45793</v>
      </c>
      <c r="E24" t="s">
        <v>69</v>
      </c>
      <c r="F24" t="s">
        <v>14</v>
      </c>
      <c r="G24" s="6">
        <f t="shared" si="0"/>
        <v>2</v>
      </c>
      <c r="H24" s="2">
        <v>556.92999999999995</v>
      </c>
      <c r="I24" t="s">
        <v>21</v>
      </c>
      <c r="J24" t="s">
        <v>16</v>
      </c>
      <c r="K24" s="2">
        <v>1113.8599999999999</v>
      </c>
      <c r="L24" s="2"/>
      <c r="M24" s="2"/>
      <c r="N24"/>
      <c r="O24" s="4">
        <v>16</v>
      </c>
      <c r="P24">
        <v>5</v>
      </c>
      <c r="Q24">
        <v>2025</v>
      </c>
      <c r="R24" s="1">
        <f t="shared" si="1"/>
        <v>45793</v>
      </c>
      <c r="T24">
        <v>2</v>
      </c>
      <c r="U24">
        <f t="shared" si="5"/>
        <v>2</v>
      </c>
      <c r="V24">
        <f t="shared" si="6"/>
        <v>2</v>
      </c>
      <c r="W24">
        <f t="shared" si="7"/>
        <v>2</v>
      </c>
      <c r="X24">
        <f t="shared" si="8"/>
        <v>2</v>
      </c>
      <c r="Z24" s="6">
        <f t="shared" si="9"/>
        <v>2</v>
      </c>
      <c r="AA24">
        <f t="shared" si="2"/>
        <v>556.92999999999995</v>
      </c>
      <c r="AB24" s="2">
        <f t="shared" si="10"/>
        <v>556.92999999999995</v>
      </c>
      <c r="AC24" s="2">
        <f t="shared" si="3"/>
        <v>1113.8599999999999</v>
      </c>
      <c r="AD24" t="str">
        <f t="shared" si="4"/>
        <v>Home</v>
      </c>
      <c r="AE24" t="str">
        <f t="shared" si="11"/>
        <v>Home</v>
      </c>
      <c r="AF24" t="str" cm="1">
        <f t="array" ref="AF24">IF(OR(F24=0,F24="0"),   _xlfn.XLOOKUP(E24, _xlfn._xlws.FILTER(E:E, (F:F&lt;&gt;"0")*(F:F&lt;&gt;0)), _xlfn._xlws.FILTER(F:F, (F:F&lt;&gt;"0")*(F:F&lt;&gt;0)), ""),F24)</f>
        <v>Home</v>
      </c>
    </row>
    <row r="25" spans="1:32" x14ac:dyDescent="0.3">
      <c r="A25">
        <v>123</v>
      </c>
      <c r="B25" t="s">
        <v>83</v>
      </c>
      <c r="C25" t="s">
        <v>84</v>
      </c>
      <c r="D25" s="1">
        <v>45936</v>
      </c>
      <c r="E25" t="s">
        <v>85</v>
      </c>
      <c r="F25" t="s">
        <v>20</v>
      </c>
      <c r="G25" s="6">
        <f t="shared" si="0"/>
        <v>3</v>
      </c>
      <c r="H25" s="2">
        <v>615.91</v>
      </c>
      <c r="I25" t="s">
        <v>15</v>
      </c>
      <c r="J25" t="s">
        <v>37</v>
      </c>
      <c r="K25" s="2">
        <v>1847.73</v>
      </c>
      <c r="L25" s="2"/>
      <c r="M25" s="2"/>
      <c r="N25"/>
      <c r="O25" s="5">
        <v>6</v>
      </c>
      <c r="P25">
        <v>10</v>
      </c>
      <c r="Q25">
        <v>2025</v>
      </c>
      <c r="R25" s="1">
        <f t="shared" si="1"/>
        <v>45936</v>
      </c>
      <c r="T25">
        <v>3</v>
      </c>
      <c r="U25">
        <f t="shared" si="5"/>
        <v>3</v>
      </c>
      <c r="V25">
        <f t="shared" si="6"/>
        <v>3</v>
      </c>
      <c r="W25">
        <f t="shared" si="7"/>
        <v>3</v>
      </c>
      <c r="X25">
        <f t="shared" si="8"/>
        <v>3</v>
      </c>
      <c r="Z25" s="6">
        <f t="shared" si="9"/>
        <v>3</v>
      </c>
      <c r="AA25">
        <f t="shared" si="2"/>
        <v>615.91</v>
      </c>
      <c r="AB25" s="2">
        <f t="shared" si="10"/>
        <v>615.91</v>
      </c>
      <c r="AC25" s="2">
        <f t="shared" si="3"/>
        <v>1847.73</v>
      </c>
      <c r="AD25" t="str">
        <f t="shared" si="4"/>
        <v>Electronics</v>
      </c>
      <c r="AE25" t="str">
        <f t="shared" si="11"/>
        <v>Electronics</v>
      </c>
      <c r="AF25" t="str" cm="1">
        <f t="array" ref="AF25">IF(OR(F25=0,F25="0"),   _xlfn.XLOOKUP(E25, _xlfn._xlws.FILTER(E:E, (F:F&lt;&gt;"0")*(F:F&lt;&gt;0)), _xlfn._xlws.FILTER(F:F, (F:F&lt;&gt;"0")*(F:F&lt;&gt;0)), ""),F25)</f>
        <v>Electronics</v>
      </c>
    </row>
    <row r="26" spans="1:32" x14ac:dyDescent="0.3">
      <c r="A26">
        <v>124</v>
      </c>
      <c r="B26" t="s">
        <v>86</v>
      </c>
      <c r="C26" t="s">
        <v>87</v>
      </c>
      <c r="D26" s="1">
        <v>45808</v>
      </c>
      <c r="E26" t="s">
        <v>54</v>
      </c>
      <c r="F26" t="s">
        <v>31</v>
      </c>
      <c r="G26" s="6">
        <f t="shared" si="0"/>
        <v>5</v>
      </c>
      <c r="H26" s="2">
        <v>621.52978021978015</v>
      </c>
      <c r="I26" t="s">
        <v>21</v>
      </c>
      <c r="J26" t="s">
        <v>37</v>
      </c>
      <c r="K26" s="2">
        <v>3107.6489010989008</v>
      </c>
      <c r="L26" s="2"/>
      <c r="M26" s="2"/>
      <c r="N26"/>
      <c r="O26" s="4">
        <v>31</v>
      </c>
      <c r="P26">
        <v>5</v>
      </c>
      <c r="Q26">
        <v>2025</v>
      </c>
      <c r="R26" s="1">
        <f t="shared" si="1"/>
        <v>45808</v>
      </c>
      <c r="T26">
        <v>5</v>
      </c>
      <c r="U26">
        <f t="shared" si="5"/>
        <v>5</v>
      </c>
      <c r="V26">
        <f t="shared" si="6"/>
        <v>5</v>
      </c>
      <c r="W26">
        <f t="shared" si="7"/>
        <v>5</v>
      </c>
      <c r="X26">
        <f t="shared" si="8"/>
        <v>5</v>
      </c>
      <c r="Z26" s="6">
        <f t="shared" si="9"/>
        <v>5</v>
      </c>
      <c r="AA26">
        <f t="shared" si="2"/>
        <v>621.52978021978004</v>
      </c>
      <c r="AB26" s="2">
        <f t="shared" si="10"/>
        <v>621.52978021978004</v>
      </c>
      <c r="AC26" s="2">
        <f t="shared" si="3"/>
        <v>3107.6489010989008</v>
      </c>
      <c r="AD26" t="str">
        <f t="shared" si="4"/>
        <v>Books</v>
      </c>
      <c r="AE26" t="str">
        <f t="shared" si="11"/>
        <v>Books</v>
      </c>
      <c r="AF26" t="str" cm="1">
        <f t="array" ref="AF26">IF(OR(F26=0,F26="0"),   _xlfn.XLOOKUP(E26, _xlfn._xlws.FILTER(E:E, (F:F&lt;&gt;"0")*(F:F&lt;&gt;0)), _xlfn._xlws.FILTER(F:F, (F:F&lt;&gt;"0")*(F:F&lt;&gt;0)), ""),F26)</f>
        <v>Books</v>
      </c>
    </row>
    <row r="27" spans="1:32" x14ac:dyDescent="0.3">
      <c r="A27">
        <v>125</v>
      </c>
      <c r="B27" t="s">
        <v>88</v>
      </c>
      <c r="C27" t="s">
        <v>89</v>
      </c>
      <c r="D27" s="1">
        <v>45697</v>
      </c>
      <c r="E27" t="s">
        <v>54</v>
      </c>
      <c r="F27" t="s">
        <v>31</v>
      </c>
      <c r="G27" s="6">
        <f t="shared" si="0"/>
        <v>4</v>
      </c>
      <c r="H27" s="2">
        <v>765.69</v>
      </c>
      <c r="I27" t="s">
        <v>21</v>
      </c>
      <c r="J27" t="s">
        <v>16</v>
      </c>
      <c r="K27" s="2">
        <v>3062.76</v>
      </c>
      <c r="L27" s="2"/>
      <c r="M27" s="2"/>
      <c r="N27"/>
      <c r="O27" s="5">
        <v>9</v>
      </c>
      <c r="P27">
        <v>2</v>
      </c>
      <c r="Q27">
        <v>2025</v>
      </c>
      <c r="R27" s="1">
        <f t="shared" si="1"/>
        <v>45697</v>
      </c>
      <c r="T27">
        <v>4</v>
      </c>
      <c r="U27">
        <f t="shared" si="5"/>
        <v>4</v>
      </c>
      <c r="V27">
        <f t="shared" si="6"/>
        <v>4</v>
      </c>
      <c r="W27">
        <f t="shared" si="7"/>
        <v>4</v>
      </c>
      <c r="X27">
        <f t="shared" si="8"/>
        <v>4</v>
      </c>
      <c r="Z27" s="6">
        <f t="shared" si="9"/>
        <v>4</v>
      </c>
      <c r="AA27">
        <f t="shared" si="2"/>
        <v>765.69</v>
      </c>
      <c r="AB27" s="2">
        <f t="shared" si="10"/>
        <v>765.69</v>
      </c>
      <c r="AC27" s="2">
        <f t="shared" si="3"/>
        <v>3062.76</v>
      </c>
      <c r="AD27" t="str">
        <f t="shared" si="4"/>
        <v>Books</v>
      </c>
      <c r="AE27" t="str">
        <f t="shared" si="11"/>
        <v>Books</v>
      </c>
      <c r="AF27" t="str" cm="1">
        <f t="array" ref="AF27">IF(OR(F27=0,F27="0"),   _xlfn.XLOOKUP(E27, _xlfn._xlws.FILTER(E:E, (F:F&lt;&gt;"0")*(F:F&lt;&gt;0)), _xlfn._xlws.FILTER(F:F, (F:F&lt;&gt;"0")*(F:F&lt;&gt;0)), ""),F27)</f>
        <v>Books</v>
      </c>
    </row>
    <row r="28" spans="1:32" x14ac:dyDescent="0.3">
      <c r="A28">
        <v>126</v>
      </c>
      <c r="B28" t="s">
        <v>90</v>
      </c>
      <c r="C28" t="s">
        <v>91</v>
      </c>
      <c r="D28" s="1">
        <v>45795</v>
      </c>
      <c r="E28" t="s">
        <v>57</v>
      </c>
      <c r="F28" t="s">
        <v>58</v>
      </c>
      <c r="G28" s="6">
        <f t="shared" si="0"/>
        <v>4</v>
      </c>
      <c r="H28" s="2">
        <v>836.8</v>
      </c>
      <c r="I28" t="s">
        <v>40</v>
      </c>
      <c r="J28" t="s">
        <v>37</v>
      </c>
      <c r="K28" s="2">
        <v>3347.2</v>
      </c>
      <c r="L28" s="2"/>
      <c r="M28" s="2"/>
      <c r="N28"/>
      <c r="O28" s="4">
        <v>18</v>
      </c>
      <c r="P28">
        <v>5</v>
      </c>
      <c r="Q28">
        <v>2025</v>
      </c>
      <c r="R28" s="1">
        <f t="shared" si="1"/>
        <v>45795</v>
      </c>
      <c r="T28">
        <v>4</v>
      </c>
      <c r="U28">
        <f t="shared" si="5"/>
        <v>4</v>
      </c>
      <c r="V28">
        <f t="shared" si="6"/>
        <v>4</v>
      </c>
      <c r="W28">
        <f t="shared" si="7"/>
        <v>4</v>
      </c>
      <c r="X28">
        <f t="shared" si="8"/>
        <v>4</v>
      </c>
      <c r="Z28" s="6">
        <f t="shared" si="9"/>
        <v>4</v>
      </c>
      <c r="AA28">
        <f t="shared" si="2"/>
        <v>836.8</v>
      </c>
      <c r="AB28" s="2">
        <f t="shared" si="10"/>
        <v>836.8</v>
      </c>
      <c r="AC28" s="2">
        <f t="shared" si="3"/>
        <v>3347.2</v>
      </c>
      <c r="AD28" t="str">
        <f t="shared" si="4"/>
        <v>Clothing</v>
      </c>
      <c r="AE28" t="str">
        <f t="shared" si="11"/>
        <v>Clothing</v>
      </c>
      <c r="AF28" t="str" cm="1">
        <f t="array" ref="AF28">IF(OR(F28=0,F28="0"),   _xlfn.XLOOKUP(E28, _xlfn._xlws.FILTER(E:E, (F:F&lt;&gt;"0")*(F:F&lt;&gt;0)), _xlfn._xlws.FILTER(F:F, (F:F&lt;&gt;"0")*(F:F&lt;&gt;0)), ""),F28)</f>
        <v>Clothing</v>
      </c>
    </row>
    <row r="29" spans="1:32" x14ac:dyDescent="0.3">
      <c r="A29">
        <v>127</v>
      </c>
      <c r="B29" t="s">
        <v>92</v>
      </c>
      <c r="C29" t="s">
        <v>93</v>
      </c>
      <c r="D29" s="1">
        <v>45789</v>
      </c>
      <c r="E29" t="s">
        <v>13</v>
      </c>
      <c r="F29" t="s">
        <v>14</v>
      </c>
      <c r="G29" s="6">
        <f t="shared" si="0"/>
        <v>5</v>
      </c>
      <c r="H29" s="2">
        <v>336.02</v>
      </c>
      <c r="I29" t="s">
        <v>40</v>
      </c>
      <c r="J29" t="s">
        <v>43</v>
      </c>
      <c r="K29" s="2">
        <v>1680.1</v>
      </c>
      <c r="L29" s="2"/>
      <c r="M29" s="2"/>
      <c r="N29"/>
      <c r="O29" s="5">
        <v>12</v>
      </c>
      <c r="P29">
        <v>5</v>
      </c>
      <c r="Q29">
        <v>2025</v>
      </c>
      <c r="R29" s="1">
        <f t="shared" si="1"/>
        <v>45789</v>
      </c>
      <c r="T29">
        <v>5</v>
      </c>
      <c r="U29">
        <f t="shared" si="5"/>
        <v>5</v>
      </c>
      <c r="V29">
        <f t="shared" si="6"/>
        <v>5</v>
      </c>
      <c r="W29">
        <f t="shared" si="7"/>
        <v>5</v>
      </c>
      <c r="X29">
        <f t="shared" si="8"/>
        <v>5</v>
      </c>
      <c r="Z29" s="6">
        <f t="shared" si="9"/>
        <v>5</v>
      </c>
      <c r="AA29">
        <f t="shared" si="2"/>
        <v>336.02</v>
      </c>
      <c r="AB29" s="2">
        <f t="shared" si="10"/>
        <v>336.02</v>
      </c>
      <c r="AC29" s="2">
        <f t="shared" si="3"/>
        <v>1680.1</v>
      </c>
      <c r="AD29" t="str">
        <f t="shared" si="4"/>
        <v>Home</v>
      </c>
      <c r="AE29" t="str">
        <f t="shared" si="11"/>
        <v>Home</v>
      </c>
      <c r="AF29" t="str" cm="1">
        <f t="array" ref="AF29">IF(OR(F29=0,F29="0"),   _xlfn.XLOOKUP(E29, _xlfn._xlws.FILTER(E:E, (F:F&lt;&gt;"0")*(F:F&lt;&gt;0)), _xlfn._xlws.FILTER(F:F, (F:F&lt;&gt;"0")*(F:F&lt;&gt;0)), ""),F29)</f>
        <v>Home</v>
      </c>
    </row>
    <row r="30" spans="1:32" x14ac:dyDescent="0.3">
      <c r="A30">
        <v>128</v>
      </c>
      <c r="B30" t="s">
        <v>94</v>
      </c>
      <c r="C30" t="s">
        <v>95</v>
      </c>
      <c r="D30" s="1">
        <v>45606</v>
      </c>
      <c r="E30" t="s">
        <v>96</v>
      </c>
      <c r="F30" t="s">
        <v>20</v>
      </c>
      <c r="G30" s="6">
        <f t="shared" si="0"/>
        <v>3</v>
      </c>
      <c r="H30" s="2">
        <v>898.69</v>
      </c>
      <c r="I30" t="s">
        <v>40</v>
      </c>
      <c r="J30" t="s">
        <v>27</v>
      </c>
      <c r="K30" s="2">
        <v>2696.07</v>
      </c>
      <c r="L30" s="2"/>
      <c r="M30" s="2"/>
      <c r="N30"/>
      <c r="O30" s="4">
        <v>10</v>
      </c>
      <c r="P30">
        <v>11</v>
      </c>
      <c r="Q30">
        <v>2024</v>
      </c>
      <c r="R30" s="1">
        <f t="shared" si="1"/>
        <v>45606</v>
      </c>
      <c r="T30">
        <v>3</v>
      </c>
      <c r="U30">
        <f t="shared" si="5"/>
        <v>3</v>
      </c>
      <c r="V30">
        <f t="shared" si="6"/>
        <v>3</v>
      </c>
      <c r="W30">
        <f t="shared" si="7"/>
        <v>3</v>
      </c>
      <c r="X30">
        <f t="shared" si="8"/>
        <v>3</v>
      </c>
      <c r="Z30" s="6">
        <f t="shared" si="9"/>
        <v>3</v>
      </c>
      <c r="AA30">
        <f t="shared" si="2"/>
        <v>898.69</v>
      </c>
      <c r="AB30" s="2">
        <f t="shared" si="10"/>
        <v>898.69</v>
      </c>
      <c r="AC30" s="2">
        <f t="shared" si="3"/>
        <v>2696.07</v>
      </c>
      <c r="AD30" t="str">
        <f t="shared" si="4"/>
        <v>Electronics</v>
      </c>
      <c r="AE30" t="str">
        <f t="shared" si="11"/>
        <v>Electronics</v>
      </c>
      <c r="AF30" t="str" cm="1">
        <f t="array" ref="AF30">IF(OR(F30=0,F30="0"),   _xlfn.XLOOKUP(E30, _xlfn._xlws.FILTER(E:E, (F:F&lt;&gt;"0")*(F:F&lt;&gt;0)), _xlfn._xlws.FILTER(F:F, (F:F&lt;&gt;"0")*(F:F&lt;&gt;0)), ""),F30)</f>
        <v>Electronics</v>
      </c>
    </row>
    <row r="31" spans="1:32" x14ac:dyDescent="0.3">
      <c r="A31">
        <v>129</v>
      </c>
      <c r="B31" t="s">
        <v>97</v>
      </c>
      <c r="C31" t="s">
        <v>98</v>
      </c>
      <c r="D31" s="1">
        <v>45830</v>
      </c>
      <c r="E31" t="s">
        <v>30</v>
      </c>
      <c r="F31" t="s">
        <v>31</v>
      </c>
      <c r="G31" s="6">
        <f t="shared" si="0"/>
        <v>4</v>
      </c>
      <c r="H31" s="2">
        <v>736.71</v>
      </c>
      <c r="I31" t="s">
        <v>40</v>
      </c>
      <c r="J31" t="s">
        <v>43</v>
      </c>
      <c r="K31" s="2">
        <v>2946.84</v>
      </c>
      <c r="L31" s="2"/>
      <c r="M31" s="2"/>
      <c r="N31"/>
      <c r="O31" s="5">
        <v>22</v>
      </c>
      <c r="P31">
        <v>6</v>
      </c>
      <c r="Q31">
        <v>2025</v>
      </c>
      <c r="R31" s="1">
        <f t="shared" si="1"/>
        <v>45830</v>
      </c>
      <c r="T31">
        <v>4</v>
      </c>
      <c r="U31">
        <f t="shared" si="5"/>
        <v>4</v>
      </c>
      <c r="V31">
        <f t="shared" si="6"/>
        <v>4</v>
      </c>
      <c r="W31">
        <f t="shared" si="7"/>
        <v>4</v>
      </c>
      <c r="X31">
        <f t="shared" si="8"/>
        <v>4</v>
      </c>
      <c r="Z31" s="6">
        <f t="shared" si="9"/>
        <v>4</v>
      </c>
      <c r="AA31">
        <f t="shared" si="2"/>
        <v>736.71</v>
      </c>
      <c r="AB31" s="2">
        <f t="shared" si="10"/>
        <v>736.71</v>
      </c>
      <c r="AC31" s="2">
        <f t="shared" si="3"/>
        <v>2946.84</v>
      </c>
      <c r="AD31" t="str">
        <f t="shared" si="4"/>
        <v>Books</v>
      </c>
      <c r="AE31" t="str">
        <f t="shared" si="11"/>
        <v>Books</v>
      </c>
      <c r="AF31" t="str" cm="1">
        <f t="array" ref="AF31">IF(OR(F31=0,F31="0"),   _xlfn.XLOOKUP(E31, _xlfn._xlws.FILTER(E:E, (F:F&lt;&gt;"0")*(F:F&lt;&gt;0)), _xlfn._xlws.FILTER(F:F, (F:F&lt;&gt;"0")*(F:F&lt;&gt;0)), ""),F31)</f>
        <v>Books</v>
      </c>
    </row>
    <row r="32" spans="1:32" x14ac:dyDescent="0.3">
      <c r="A32">
        <v>130</v>
      </c>
      <c r="B32" t="s">
        <v>99</v>
      </c>
      <c r="C32" t="s">
        <v>100</v>
      </c>
      <c r="D32" s="1">
        <v>45884</v>
      </c>
      <c r="E32" t="s">
        <v>25</v>
      </c>
      <c r="F32" t="s">
        <v>26</v>
      </c>
      <c r="G32" s="6">
        <f t="shared" si="0"/>
        <v>2</v>
      </c>
      <c r="H32" s="2">
        <v>621.52978021978015</v>
      </c>
      <c r="I32" t="s">
        <v>40</v>
      </c>
      <c r="J32" t="s">
        <v>22</v>
      </c>
      <c r="K32" s="2">
        <v>1243.0595604395603</v>
      </c>
      <c r="L32" s="2"/>
      <c r="M32" s="2"/>
      <c r="N32"/>
      <c r="O32" s="4">
        <v>15</v>
      </c>
      <c r="P32">
        <v>8</v>
      </c>
      <c r="Q32">
        <v>2025</v>
      </c>
      <c r="R32" s="1">
        <f t="shared" si="1"/>
        <v>45884</v>
      </c>
      <c r="T32">
        <v>2</v>
      </c>
      <c r="U32">
        <f t="shared" si="5"/>
        <v>2</v>
      </c>
      <c r="V32">
        <f t="shared" si="6"/>
        <v>2</v>
      </c>
      <c r="W32">
        <f t="shared" si="7"/>
        <v>2</v>
      </c>
      <c r="X32">
        <f t="shared" si="8"/>
        <v>2</v>
      </c>
      <c r="Z32" s="6">
        <f t="shared" si="9"/>
        <v>2</v>
      </c>
      <c r="AA32">
        <f t="shared" si="2"/>
        <v>621.52978021978004</v>
      </c>
      <c r="AB32" s="2">
        <f t="shared" si="10"/>
        <v>621.52978021978004</v>
      </c>
      <c r="AC32" s="2">
        <f t="shared" si="3"/>
        <v>1243.0595604395603</v>
      </c>
      <c r="AD32" t="str">
        <f t="shared" si="4"/>
        <v>Sports</v>
      </c>
      <c r="AE32" t="str">
        <f t="shared" si="11"/>
        <v>Sports</v>
      </c>
      <c r="AF32" t="str" cm="1">
        <f t="array" ref="AF32">IF(OR(F32=0,F32="0"),   _xlfn.XLOOKUP(E32, _xlfn._xlws.FILTER(E:E, (F:F&lt;&gt;"0")*(F:F&lt;&gt;0)), _xlfn._xlws.FILTER(F:F, (F:F&lt;&gt;"0")*(F:F&lt;&gt;0)), ""),F32)</f>
        <v>Sports</v>
      </c>
    </row>
    <row r="33" spans="1:32" x14ac:dyDescent="0.3">
      <c r="A33">
        <v>131</v>
      </c>
      <c r="B33" t="s">
        <v>101</v>
      </c>
      <c r="C33" t="s">
        <v>102</v>
      </c>
      <c r="D33" s="1">
        <v>45819</v>
      </c>
      <c r="E33" t="s">
        <v>96</v>
      </c>
      <c r="F33" t="s">
        <v>14</v>
      </c>
      <c r="G33" s="6">
        <f t="shared" si="0"/>
        <v>5</v>
      </c>
      <c r="H33" s="2">
        <v>616.63</v>
      </c>
      <c r="I33" t="s">
        <v>21</v>
      </c>
      <c r="J33" t="s">
        <v>16</v>
      </c>
      <c r="K33" s="2">
        <v>3083.15</v>
      </c>
      <c r="L33" s="2"/>
      <c r="M33" s="2"/>
      <c r="N33"/>
      <c r="O33" s="5">
        <v>11</v>
      </c>
      <c r="P33">
        <v>6</v>
      </c>
      <c r="Q33">
        <v>2025</v>
      </c>
      <c r="R33" s="1">
        <f t="shared" si="1"/>
        <v>45819</v>
      </c>
      <c r="T33">
        <v>5</v>
      </c>
      <c r="U33">
        <f t="shared" si="5"/>
        <v>5</v>
      </c>
      <c r="V33">
        <f t="shared" si="6"/>
        <v>5</v>
      </c>
      <c r="W33">
        <f t="shared" si="7"/>
        <v>5</v>
      </c>
      <c r="X33">
        <f t="shared" si="8"/>
        <v>5</v>
      </c>
      <c r="Z33" s="6">
        <f t="shared" si="9"/>
        <v>5</v>
      </c>
      <c r="AA33">
        <f t="shared" si="2"/>
        <v>616.63</v>
      </c>
      <c r="AB33" s="2">
        <f t="shared" si="10"/>
        <v>616.63</v>
      </c>
      <c r="AC33" s="2">
        <f t="shared" si="3"/>
        <v>3083.15</v>
      </c>
      <c r="AD33" t="str">
        <f t="shared" si="4"/>
        <v>Home</v>
      </c>
      <c r="AE33" t="str">
        <f t="shared" si="11"/>
        <v>Home</v>
      </c>
      <c r="AF33" t="str" cm="1">
        <f t="array" ref="AF33">IF(OR(F33=0,F33="0"),   _xlfn.XLOOKUP(E33, _xlfn._xlws.FILTER(E:E, (F:F&lt;&gt;"0")*(F:F&lt;&gt;0)), _xlfn._xlws.FILTER(F:F, (F:F&lt;&gt;"0")*(F:F&lt;&gt;0)), ""),F33)</f>
        <v>Home</v>
      </c>
    </row>
    <row r="34" spans="1:32" x14ac:dyDescent="0.3">
      <c r="A34">
        <v>132</v>
      </c>
      <c r="B34" t="s">
        <v>103</v>
      </c>
      <c r="C34" t="s">
        <v>104</v>
      </c>
      <c r="D34" s="1">
        <v>45749</v>
      </c>
      <c r="E34" t="s">
        <v>78</v>
      </c>
      <c r="F34" t="s">
        <v>20</v>
      </c>
      <c r="G34" s="6">
        <f t="shared" ref="G34:G65" si="12">IF(OR(W34="",W34=0),AVERAGEIF(W:W,"&gt;0"),W34)</f>
        <v>1</v>
      </c>
      <c r="H34" s="2">
        <v>266.7</v>
      </c>
      <c r="I34" t="s">
        <v>21</v>
      </c>
      <c r="J34" t="s">
        <v>27</v>
      </c>
      <c r="K34" s="2">
        <v>266.7</v>
      </c>
      <c r="L34" s="2"/>
      <c r="M34" s="2"/>
      <c r="N34"/>
      <c r="O34" s="4">
        <v>2</v>
      </c>
      <c r="P34">
        <v>4</v>
      </c>
      <c r="Q34">
        <v>2025</v>
      </c>
      <c r="R34" s="1">
        <f t="shared" ref="R34:R65" si="13">IFERROR(DATE(Q34,P34,DAY(O34)),DATEVALUE(O34))</f>
        <v>45749</v>
      </c>
      <c r="T34">
        <v>1</v>
      </c>
      <c r="U34">
        <f t="shared" si="5"/>
        <v>1</v>
      </c>
      <c r="V34">
        <f t="shared" si="6"/>
        <v>1</v>
      </c>
      <c r="W34">
        <f t="shared" si="7"/>
        <v>1</v>
      </c>
      <c r="X34">
        <f t="shared" si="8"/>
        <v>1</v>
      </c>
      <c r="Z34" s="6">
        <f t="shared" si="9"/>
        <v>1</v>
      </c>
      <c r="AA34">
        <f t="shared" ref="AA34:AA65" si="14">IFERROR(IF(VALUE(SUBSTITUTE(SUBSTITUTE(SUBSTITUTE(SUBSTITUTE(H34,"₹",""),"$",""),",","")," ",""))&lt;0,"",VALUE(SUBSTITUTE(SUBSTITUTE(SUBSTITUTE(SUBSTITUTE(H34,"₹",""),"$",""),",","")," ",""))),"")</f>
        <v>266.7</v>
      </c>
      <c r="AB34" s="2">
        <f t="shared" si="10"/>
        <v>266.7</v>
      </c>
      <c r="AC34" s="2">
        <f t="shared" ref="AC34:AC65" si="15">G34*H34</f>
        <v>266.7</v>
      </c>
      <c r="AD34" t="str">
        <f t="shared" ref="AD34:AD65" si="16">IF(F34&lt;&gt;"", F34, _xlfn.XLOOKUP(E34, E:E, F:F, ""))</f>
        <v>Electronics</v>
      </c>
      <c r="AE34" t="str">
        <f t="shared" si="11"/>
        <v>Electronics</v>
      </c>
      <c r="AF34" t="str" cm="1">
        <f t="array" ref="AF34">IF(OR(F34=0,F34="0"),   _xlfn.XLOOKUP(E34, _xlfn._xlws.FILTER(E:E, (F:F&lt;&gt;"0")*(F:F&lt;&gt;0)), _xlfn._xlws.FILTER(F:F, (F:F&lt;&gt;"0")*(F:F&lt;&gt;0)), ""),F34)</f>
        <v>Electronics</v>
      </c>
    </row>
    <row r="35" spans="1:32" x14ac:dyDescent="0.3">
      <c r="A35">
        <v>133</v>
      </c>
      <c r="B35" t="s">
        <v>105</v>
      </c>
      <c r="C35" t="s">
        <v>106</v>
      </c>
      <c r="D35" s="1">
        <v>45631</v>
      </c>
      <c r="E35" t="s">
        <v>34</v>
      </c>
      <c r="F35" t="s">
        <v>31</v>
      </c>
      <c r="G35" s="6">
        <f t="shared" si="12"/>
        <v>5</v>
      </c>
      <c r="H35" s="2">
        <v>343.24</v>
      </c>
      <c r="I35" t="s">
        <v>48</v>
      </c>
      <c r="J35" t="s">
        <v>16</v>
      </c>
      <c r="K35" s="2">
        <v>1716.2</v>
      </c>
      <c r="L35" s="2"/>
      <c r="M35" s="2"/>
      <c r="N35"/>
      <c r="O35" s="5">
        <v>5</v>
      </c>
      <c r="P35">
        <v>12</v>
      </c>
      <c r="Q35">
        <v>2024</v>
      </c>
      <c r="R35" s="1">
        <f t="shared" si="13"/>
        <v>45631</v>
      </c>
      <c r="T35">
        <v>5</v>
      </c>
      <c r="U35">
        <f t="shared" si="5"/>
        <v>5</v>
      </c>
      <c r="V35">
        <f t="shared" si="6"/>
        <v>5</v>
      </c>
      <c r="W35">
        <f t="shared" si="7"/>
        <v>5</v>
      </c>
      <c r="X35">
        <f t="shared" si="8"/>
        <v>5</v>
      </c>
      <c r="Z35" s="6">
        <f t="shared" si="9"/>
        <v>5</v>
      </c>
      <c r="AA35">
        <f t="shared" si="14"/>
        <v>343.24</v>
      </c>
      <c r="AB35" s="2">
        <f t="shared" si="10"/>
        <v>343.24</v>
      </c>
      <c r="AC35" s="2">
        <f t="shared" si="15"/>
        <v>1716.2</v>
      </c>
      <c r="AD35" t="str">
        <f t="shared" si="16"/>
        <v>Books</v>
      </c>
      <c r="AE35" t="str">
        <f t="shared" si="11"/>
        <v>Books</v>
      </c>
      <c r="AF35" t="str" cm="1">
        <f t="array" ref="AF35">IF(OR(F35=0,F35="0"),   _xlfn.XLOOKUP(E35, _xlfn._xlws.FILTER(E:E, (F:F&lt;&gt;"0")*(F:F&lt;&gt;0)), _xlfn._xlws.FILTER(F:F, (F:F&lt;&gt;"0")*(F:F&lt;&gt;0)), ""),F35)</f>
        <v>Books</v>
      </c>
    </row>
    <row r="36" spans="1:32" x14ac:dyDescent="0.3">
      <c r="A36">
        <v>134</v>
      </c>
      <c r="B36" t="s">
        <v>107</v>
      </c>
      <c r="C36" t="s">
        <v>108</v>
      </c>
      <c r="D36" s="1">
        <v>45934</v>
      </c>
      <c r="E36" t="s">
        <v>109</v>
      </c>
      <c r="F36" t="s">
        <v>58</v>
      </c>
      <c r="G36" s="6">
        <f t="shared" si="12"/>
        <v>5</v>
      </c>
      <c r="H36" s="2">
        <v>591.53</v>
      </c>
      <c r="I36" t="s">
        <v>21</v>
      </c>
      <c r="J36" t="s">
        <v>16</v>
      </c>
      <c r="K36" s="2">
        <v>2957.6499999999996</v>
      </c>
      <c r="L36" s="2"/>
      <c r="M36" s="2"/>
      <c r="N36"/>
      <c r="O36" s="4">
        <v>4</v>
      </c>
      <c r="P36">
        <v>10</v>
      </c>
      <c r="Q36">
        <v>2025</v>
      </c>
      <c r="R36" s="1">
        <f t="shared" si="13"/>
        <v>45934</v>
      </c>
      <c r="T36">
        <v>-5</v>
      </c>
      <c r="U36">
        <f t="shared" si="5"/>
        <v>-5</v>
      </c>
      <c r="V36">
        <f t="shared" si="6"/>
        <v>5</v>
      </c>
      <c r="W36">
        <f t="shared" si="7"/>
        <v>5</v>
      </c>
      <c r="X36">
        <f t="shared" si="8"/>
        <v>5</v>
      </c>
      <c r="Z36" s="6">
        <f t="shared" si="9"/>
        <v>5</v>
      </c>
      <c r="AA36">
        <f t="shared" si="14"/>
        <v>591.53</v>
      </c>
      <c r="AB36" s="2">
        <f t="shared" si="10"/>
        <v>591.53</v>
      </c>
      <c r="AC36" s="2">
        <f t="shared" si="15"/>
        <v>2957.6499999999996</v>
      </c>
      <c r="AD36" t="str">
        <f t="shared" si="16"/>
        <v>Clothing</v>
      </c>
      <c r="AE36" t="str">
        <f t="shared" si="11"/>
        <v>Clothing</v>
      </c>
      <c r="AF36" t="str" cm="1">
        <f t="array" ref="AF36">IF(OR(F36=0,F36="0"),   _xlfn.XLOOKUP(E36, _xlfn._xlws.FILTER(E:E, (F:F&lt;&gt;"0")*(F:F&lt;&gt;0)), _xlfn._xlws.FILTER(F:F, (F:F&lt;&gt;"0")*(F:F&lt;&gt;0)), ""),F36)</f>
        <v>Clothing</v>
      </c>
    </row>
    <row r="37" spans="1:32" x14ac:dyDescent="0.3">
      <c r="A37">
        <v>135</v>
      </c>
      <c r="B37" t="s">
        <v>110</v>
      </c>
      <c r="C37" t="s">
        <v>111</v>
      </c>
      <c r="D37" s="1">
        <v>45697</v>
      </c>
      <c r="E37" t="s">
        <v>112</v>
      </c>
      <c r="F37" t="s">
        <v>20</v>
      </c>
      <c r="G37" s="6">
        <f t="shared" si="12"/>
        <v>4</v>
      </c>
      <c r="H37" s="2">
        <v>446.19</v>
      </c>
      <c r="I37" t="s">
        <v>15</v>
      </c>
      <c r="J37" t="s">
        <v>37</v>
      </c>
      <c r="K37" s="2">
        <v>1784.76</v>
      </c>
      <c r="L37" s="2"/>
      <c r="M37" s="2"/>
      <c r="N37"/>
      <c r="O37" s="5">
        <v>9</v>
      </c>
      <c r="P37">
        <v>2</v>
      </c>
      <c r="Q37">
        <v>2025</v>
      </c>
      <c r="R37" s="1">
        <f t="shared" si="13"/>
        <v>45697</v>
      </c>
      <c r="T37">
        <v>4</v>
      </c>
      <c r="U37">
        <f t="shared" si="5"/>
        <v>4</v>
      </c>
      <c r="V37">
        <f t="shared" si="6"/>
        <v>4</v>
      </c>
      <c r="W37">
        <f t="shared" si="7"/>
        <v>4</v>
      </c>
      <c r="X37">
        <f t="shared" si="8"/>
        <v>4</v>
      </c>
      <c r="Z37" s="6">
        <f t="shared" si="9"/>
        <v>4</v>
      </c>
      <c r="AA37">
        <f t="shared" si="14"/>
        <v>446.19</v>
      </c>
      <c r="AB37" s="2">
        <f t="shared" si="10"/>
        <v>446.19</v>
      </c>
      <c r="AC37" s="2">
        <f t="shared" si="15"/>
        <v>1784.76</v>
      </c>
      <c r="AD37" t="str">
        <f t="shared" si="16"/>
        <v>Electronics</v>
      </c>
      <c r="AE37" t="str">
        <f t="shared" si="11"/>
        <v>Electronics</v>
      </c>
      <c r="AF37" t="str" cm="1">
        <f t="array" ref="AF37">IF(OR(F37=0,F37="0"),   _xlfn.XLOOKUP(E37, _xlfn._xlws.FILTER(E:E, (F:F&lt;&gt;"0")*(F:F&lt;&gt;0)), _xlfn._xlws.FILTER(F:F, (F:F&lt;&gt;"0")*(F:F&lt;&gt;0)), ""),F37)</f>
        <v>Electronics</v>
      </c>
    </row>
    <row r="38" spans="1:32" x14ac:dyDescent="0.3">
      <c r="A38">
        <v>136</v>
      </c>
      <c r="B38" t="s">
        <v>113</v>
      </c>
      <c r="C38" t="s">
        <v>114</v>
      </c>
      <c r="D38" s="1">
        <v>45820</v>
      </c>
      <c r="E38" t="s">
        <v>115</v>
      </c>
      <c r="F38" t="s">
        <v>20</v>
      </c>
      <c r="G38" s="6">
        <f t="shared" si="12"/>
        <v>1</v>
      </c>
      <c r="H38" s="2">
        <v>696.71</v>
      </c>
      <c r="I38" t="s">
        <v>48</v>
      </c>
      <c r="J38" t="s">
        <v>27</v>
      </c>
      <c r="K38" s="2">
        <v>696.71</v>
      </c>
      <c r="L38" s="2"/>
      <c r="M38" s="2"/>
      <c r="N38"/>
      <c r="O38" s="4">
        <v>12</v>
      </c>
      <c r="P38">
        <v>6</v>
      </c>
      <c r="Q38">
        <v>2025</v>
      </c>
      <c r="R38" s="1">
        <f t="shared" si="13"/>
        <v>45820</v>
      </c>
      <c r="T38">
        <v>1</v>
      </c>
      <c r="U38">
        <f t="shared" si="5"/>
        <v>1</v>
      </c>
      <c r="V38">
        <f t="shared" si="6"/>
        <v>1</v>
      </c>
      <c r="W38">
        <f t="shared" si="7"/>
        <v>1</v>
      </c>
      <c r="X38">
        <f t="shared" si="8"/>
        <v>1</v>
      </c>
      <c r="Z38" s="6">
        <f t="shared" si="9"/>
        <v>1</v>
      </c>
      <c r="AA38">
        <f t="shared" si="14"/>
        <v>696.71</v>
      </c>
      <c r="AB38" s="2">
        <f t="shared" si="10"/>
        <v>696.71</v>
      </c>
      <c r="AC38" s="2">
        <f t="shared" si="15"/>
        <v>696.71</v>
      </c>
      <c r="AD38" t="str">
        <f t="shared" si="16"/>
        <v>Electronics</v>
      </c>
      <c r="AE38" t="str">
        <f t="shared" si="11"/>
        <v>Electronics</v>
      </c>
      <c r="AF38" t="str" cm="1">
        <f t="array" ref="AF38">IF(OR(F38=0,F38="0"),   _xlfn.XLOOKUP(E38, _xlfn._xlws.FILTER(E:E, (F:F&lt;&gt;"0")*(F:F&lt;&gt;0)), _xlfn._xlws.FILTER(F:F, (F:F&lt;&gt;"0")*(F:F&lt;&gt;0)), ""),F38)</f>
        <v>Electronics</v>
      </c>
    </row>
    <row r="39" spans="1:32" x14ac:dyDescent="0.3">
      <c r="A39">
        <v>137</v>
      </c>
      <c r="B39" t="s">
        <v>116</v>
      </c>
      <c r="C39" t="s">
        <v>117</v>
      </c>
      <c r="D39" s="1">
        <v>45711</v>
      </c>
      <c r="E39" t="s">
        <v>85</v>
      </c>
      <c r="F39" t="s">
        <v>14</v>
      </c>
      <c r="G39" s="6">
        <f t="shared" si="12"/>
        <v>3</v>
      </c>
      <c r="H39" s="2">
        <v>621.52978021978015</v>
      </c>
      <c r="I39" t="s">
        <v>15</v>
      </c>
      <c r="J39" t="s">
        <v>27</v>
      </c>
      <c r="K39" s="2">
        <v>1864.5893406593405</v>
      </c>
      <c r="L39" s="2"/>
      <c r="M39" s="2"/>
      <c r="N39"/>
      <c r="O39" s="5">
        <v>23</v>
      </c>
      <c r="P39">
        <v>2</v>
      </c>
      <c r="Q39">
        <v>2025</v>
      </c>
      <c r="R39" s="1">
        <f t="shared" si="13"/>
        <v>45711</v>
      </c>
      <c r="T39">
        <v>3</v>
      </c>
      <c r="U39">
        <f t="shared" si="5"/>
        <v>3</v>
      </c>
      <c r="V39">
        <f t="shared" si="6"/>
        <v>3</v>
      </c>
      <c r="W39">
        <f t="shared" si="7"/>
        <v>3</v>
      </c>
      <c r="X39">
        <f t="shared" si="8"/>
        <v>3</v>
      </c>
      <c r="Z39" s="6">
        <f t="shared" si="9"/>
        <v>3</v>
      </c>
      <c r="AA39">
        <f t="shared" si="14"/>
        <v>621.52978021978004</v>
      </c>
      <c r="AB39" s="2">
        <f t="shared" si="10"/>
        <v>621.52978021978004</v>
      </c>
      <c r="AC39" s="2">
        <f t="shared" si="15"/>
        <v>1864.5893406593405</v>
      </c>
      <c r="AD39" t="str">
        <f t="shared" si="16"/>
        <v>Home</v>
      </c>
      <c r="AE39" t="str">
        <f t="shared" si="11"/>
        <v>Home</v>
      </c>
      <c r="AF39" t="str" cm="1">
        <f t="array" ref="AF39">IF(OR(F39=0,F39="0"),   _xlfn.XLOOKUP(E39, _xlfn._xlws.FILTER(E:E, (F:F&lt;&gt;"0")*(F:F&lt;&gt;0)), _xlfn._xlws.FILTER(F:F, (F:F&lt;&gt;"0")*(F:F&lt;&gt;0)), ""),F39)</f>
        <v>Home</v>
      </c>
    </row>
    <row r="40" spans="1:32" x14ac:dyDescent="0.3">
      <c r="A40">
        <v>138</v>
      </c>
      <c r="B40" t="s">
        <v>118</v>
      </c>
      <c r="C40" t="s">
        <v>119</v>
      </c>
      <c r="D40" s="1">
        <v>45878</v>
      </c>
      <c r="E40" t="s">
        <v>96</v>
      </c>
      <c r="F40" t="s">
        <v>14</v>
      </c>
      <c r="G40" s="6">
        <f t="shared" si="12"/>
        <v>1</v>
      </c>
      <c r="H40" s="2">
        <v>531.05999999999995</v>
      </c>
      <c r="I40" t="s">
        <v>21</v>
      </c>
      <c r="J40" t="s">
        <v>22</v>
      </c>
      <c r="K40" s="2">
        <v>531.05999999999995</v>
      </c>
      <c r="L40" s="2"/>
      <c r="M40" s="2"/>
      <c r="N40"/>
      <c r="O40" s="4">
        <v>9</v>
      </c>
      <c r="P40">
        <v>8</v>
      </c>
      <c r="Q40">
        <v>2025</v>
      </c>
      <c r="R40" s="1">
        <f t="shared" si="13"/>
        <v>45878</v>
      </c>
      <c r="T40">
        <v>1</v>
      </c>
      <c r="U40">
        <f t="shared" si="5"/>
        <v>1</v>
      </c>
      <c r="V40">
        <f t="shared" si="6"/>
        <v>1</v>
      </c>
      <c r="W40">
        <f t="shared" si="7"/>
        <v>1</v>
      </c>
      <c r="X40">
        <f t="shared" si="8"/>
        <v>1</v>
      </c>
      <c r="Z40" s="6">
        <f t="shared" si="9"/>
        <v>1</v>
      </c>
      <c r="AA40">
        <f t="shared" si="14"/>
        <v>531.05999999999995</v>
      </c>
      <c r="AB40" s="2">
        <f t="shared" si="10"/>
        <v>531.05999999999995</v>
      </c>
      <c r="AC40" s="2">
        <f t="shared" si="15"/>
        <v>531.05999999999995</v>
      </c>
      <c r="AD40" t="str">
        <f t="shared" si="16"/>
        <v>Home</v>
      </c>
      <c r="AE40" t="str">
        <f t="shared" si="11"/>
        <v>Home</v>
      </c>
      <c r="AF40" t="str" cm="1">
        <f t="array" ref="AF40">IF(OR(F40=0,F40="0"),   _xlfn.XLOOKUP(E40, _xlfn._xlws.FILTER(E:E, (F:F&lt;&gt;"0")*(F:F&lt;&gt;0)), _xlfn._xlws.FILTER(F:F, (F:F&lt;&gt;"0")*(F:F&lt;&gt;0)), ""),F40)</f>
        <v>Home</v>
      </c>
    </row>
    <row r="41" spans="1:32" x14ac:dyDescent="0.3">
      <c r="A41">
        <v>139</v>
      </c>
      <c r="B41" t="s">
        <v>120</v>
      </c>
      <c r="C41" t="s">
        <v>121</v>
      </c>
      <c r="D41" s="1">
        <v>45697</v>
      </c>
      <c r="E41" t="s">
        <v>19</v>
      </c>
      <c r="F41" t="s">
        <v>20</v>
      </c>
      <c r="G41" s="6">
        <f t="shared" si="12"/>
        <v>2</v>
      </c>
      <c r="H41" s="2">
        <v>681.38</v>
      </c>
      <c r="I41" t="s">
        <v>48</v>
      </c>
      <c r="J41" t="s">
        <v>37</v>
      </c>
      <c r="K41" s="2">
        <v>1362.76</v>
      </c>
      <c r="L41" s="2"/>
      <c r="M41" s="2"/>
      <c r="N41"/>
      <c r="O41" s="5">
        <v>9</v>
      </c>
      <c r="P41">
        <v>2</v>
      </c>
      <c r="Q41">
        <v>2025</v>
      </c>
      <c r="R41" s="1">
        <f t="shared" si="13"/>
        <v>45697</v>
      </c>
      <c r="T41">
        <v>2</v>
      </c>
      <c r="U41">
        <f t="shared" si="5"/>
        <v>2</v>
      </c>
      <c r="V41">
        <f t="shared" si="6"/>
        <v>2</v>
      </c>
      <c r="W41">
        <f t="shared" si="7"/>
        <v>2</v>
      </c>
      <c r="X41">
        <f t="shared" si="8"/>
        <v>2</v>
      </c>
      <c r="Z41" s="6">
        <f t="shared" si="9"/>
        <v>2</v>
      </c>
      <c r="AA41">
        <f t="shared" si="14"/>
        <v>681.38</v>
      </c>
      <c r="AB41" s="2">
        <f t="shared" si="10"/>
        <v>681.38</v>
      </c>
      <c r="AC41" s="2">
        <f t="shared" si="15"/>
        <v>1362.76</v>
      </c>
      <c r="AD41" t="str">
        <f t="shared" si="16"/>
        <v>Electronics</v>
      </c>
      <c r="AE41" t="str">
        <f t="shared" si="11"/>
        <v>Electronics</v>
      </c>
      <c r="AF41" t="str" cm="1">
        <f t="array" ref="AF41">IF(OR(F41=0,F41="0"),   _xlfn.XLOOKUP(E41, _xlfn._xlws.FILTER(E:E, (F:F&lt;&gt;"0")*(F:F&lt;&gt;0)), _xlfn._xlws.FILTER(F:F, (F:F&lt;&gt;"0")*(F:F&lt;&gt;0)), ""),F41)</f>
        <v>Electronics</v>
      </c>
    </row>
    <row r="42" spans="1:32" x14ac:dyDescent="0.3">
      <c r="A42">
        <v>140</v>
      </c>
      <c r="B42" t="s">
        <v>122</v>
      </c>
      <c r="C42" t="s">
        <v>123</v>
      </c>
      <c r="D42" s="1">
        <v>45714</v>
      </c>
      <c r="E42" t="s">
        <v>61</v>
      </c>
      <c r="F42" t="s">
        <v>31</v>
      </c>
      <c r="G42" s="6">
        <f t="shared" si="12"/>
        <v>4</v>
      </c>
      <c r="H42" s="2">
        <v>588.98</v>
      </c>
      <c r="I42" t="s">
        <v>48</v>
      </c>
      <c r="J42" t="s">
        <v>43</v>
      </c>
      <c r="K42" s="2">
        <v>2355.92</v>
      </c>
      <c r="L42" s="2"/>
      <c r="M42" s="2"/>
      <c r="N42"/>
      <c r="O42" s="4">
        <v>26</v>
      </c>
      <c r="P42">
        <v>2</v>
      </c>
      <c r="Q42">
        <v>2025</v>
      </c>
      <c r="R42" s="1">
        <f t="shared" si="13"/>
        <v>45714</v>
      </c>
      <c r="T42">
        <v>4</v>
      </c>
      <c r="U42">
        <f t="shared" si="5"/>
        <v>4</v>
      </c>
      <c r="V42">
        <f t="shared" si="6"/>
        <v>4</v>
      </c>
      <c r="W42">
        <f t="shared" si="7"/>
        <v>4</v>
      </c>
      <c r="X42">
        <f t="shared" si="8"/>
        <v>4</v>
      </c>
      <c r="Z42" s="6">
        <f t="shared" si="9"/>
        <v>4</v>
      </c>
      <c r="AA42">
        <f t="shared" si="14"/>
        <v>588.98</v>
      </c>
      <c r="AB42" s="2">
        <f t="shared" si="10"/>
        <v>588.98</v>
      </c>
      <c r="AC42" s="2">
        <f t="shared" si="15"/>
        <v>2355.92</v>
      </c>
      <c r="AD42" t="str">
        <f t="shared" si="16"/>
        <v>Books</v>
      </c>
      <c r="AE42" t="str">
        <f t="shared" si="11"/>
        <v>Books</v>
      </c>
      <c r="AF42" t="str" cm="1">
        <f t="array" ref="AF42">IF(OR(F42=0,F42="0"),   _xlfn.XLOOKUP(E42, _xlfn._xlws.FILTER(E:E, (F:F&lt;&gt;"0")*(F:F&lt;&gt;0)), _xlfn._xlws.FILTER(F:F, (F:F&lt;&gt;"0")*(F:F&lt;&gt;0)), ""),F42)</f>
        <v>Books</v>
      </c>
    </row>
    <row r="43" spans="1:32" x14ac:dyDescent="0.3">
      <c r="A43">
        <v>141</v>
      </c>
      <c r="B43" t="s">
        <v>124</v>
      </c>
      <c r="C43" t="s">
        <v>125</v>
      </c>
      <c r="D43" s="1">
        <v>45701</v>
      </c>
      <c r="E43" t="s">
        <v>61</v>
      </c>
      <c r="F43" t="s">
        <v>31</v>
      </c>
      <c r="G43" s="6">
        <f t="shared" si="12"/>
        <v>3</v>
      </c>
      <c r="H43" s="2">
        <v>546.04</v>
      </c>
      <c r="I43" t="s">
        <v>15</v>
      </c>
      <c r="J43" t="s">
        <v>43</v>
      </c>
      <c r="K43" s="2">
        <v>1638.12</v>
      </c>
      <c r="L43" s="2"/>
      <c r="M43" s="2"/>
      <c r="N43"/>
      <c r="O43" s="5">
        <v>13</v>
      </c>
      <c r="P43">
        <v>2</v>
      </c>
      <c r="Q43">
        <v>2025</v>
      </c>
      <c r="R43" s="1">
        <f t="shared" si="13"/>
        <v>45701</v>
      </c>
      <c r="T43">
        <v>3</v>
      </c>
      <c r="U43">
        <f t="shared" si="5"/>
        <v>3</v>
      </c>
      <c r="V43">
        <f t="shared" si="6"/>
        <v>3</v>
      </c>
      <c r="W43">
        <f t="shared" si="7"/>
        <v>3</v>
      </c>
      <c r="X43">
        <f t="shared" si="8"/>
        <v>3</v>
      </c>
      <c r="Z43" s="6">
        <f t="shared" si="9"/>
        <v>3</v>
      </c>
      <c r="AA43">
        <f t="shared" si="14"/>
        <v>546.04</v>
      </c>
      <c r="AB43" s="2">
        <f t="shared" si="10"/>
        <v>546.04</v>
      </c>
      <c r="AC43" s="2">
        <f t="shared" si="15"/>
        <v>1638.12</v>
      </c>
      <c r="AD43" t="str">
        <f t="shared" si="16"/>
        <v>Books</v>
      </c>
      <c r="AE43" t="str">
        <f t="shared" si="11"/>
        <v>Books</v>
      </c>
      <c r="AF43" t="str" cm="1">
        <f t="array" ref="AF43">IF(OR(F43=0,F43="0"),   _xlfn.XLOOKUP(E43, _xlfn._xlws.FILTER(E:E, (F:F&lt;&gt;"0")*(F:F&lt;&gt;0)), _xlfn._xlws.FILTER(F:F, (F:F&lt;&gt;"0")*(F:F&lt;&gt;0)), ""),F43)</f>
        <v>Books</v>
      </c>
    </row>
    <row r="44" spans="1:32" x14ac:dyDescent="0.3">
      <c r="A44">
        <v>142</v>
      </c>
      <c r="B44" t="s">
        <v>126</v>
      </c>
      <c r="C44" t="s">
        <v>127</v>
      </c>
      <c r="D44" s="1">
        <v>45960</v>
      </c>
      <c r="E44" t="s">
        <v>57</v>
      </c>
      <c r="F44" t="s">
        <v>58</v>
      </c>
      <c r="G44" s="6">
        <f t="shared" si="12"/>
        <v>5</v>
      </c>
      <c r="H44" s="2">
        <v>645.26</v>
      </c>
      <c r="I44" t="s">
        <v>48</v>
      </c>
      <c r="J44" t="s">
        <v>16</v>
      </c>
      <c r="K44" s="2">
        <v>3226.3</v>
      </c>
      <c r="L44" s="2"/>
      <c r="M44" s="2"/>
      <c r="N44"/>
      <c r="O44" s="4">
        <v>30</v>
      </c>
      <c r="P44">
        <v>10</v>
      </c>
      <c r="Q44">
        <v>2025</v>
      </c>
      <c r="R44" s="1">
        <f t="shared" si="13"/>
        <v>45960</v>
      </c>
      <c r="T44">
        <v>5</v>
      </c>
      <c r="U44">
        <f t="shared" si="5"/>
        <v>5</v>
      </c>
      <c r="V44">
        <f t="shared" si="6"/>
        <v>5</v>
      </c>
      <c r="W44">
        <f t="shared" si="7"/>
        <v>5</v>
      </c>
      <c r="X44">
        <f t="shared" si="8"/>
        <v>5</v>
      </c>
      <c r="Z44" s="6">
        <f t="shared" si="9"/>
        <v>5</v>
      </c>
      <c r="AA44">
        <f t="shared" si="14"/>
        <v>645.26</v>
      </c>
      <c r="AB44" s="2">
        <f t="shared" si="10"/>
        <v>645.26</v>
      </c>
      <c r="AC44" s="2">
        <f t="shared" si="15"/>
        <v>3226.3</v>
      </c>
      <c r="AD44" t="str">
        <f t="shared" si="16"/>
        <v>Clothing</v>
      </c>
      <c r="AE44" t="str">
        <f t="shared" si="11"/>
        <v>Clothing</v>
      </c>
      <c r="AF44" t="str" cm="1">
        <f t="array" ref="AF44">IF(OR(F44=0,F44="0"),   _xlfn.XLOOKUP(E44, _xlfn._xlws.FILTER(E:E, (F:F&lt;&gt;"0")*(F:F&lt;&gt;0)), _xlfn._xlws.FILTER(F:F, (F:F&lt;&gt;"0")*(F:F&lt;&gt;0)), ""),F44)</f>
        <v>Clothing</v>
      </c>
    </row>
    <row r="45" spans="1:32" x14ac:dyDescent="0.3">
      <c r="A45">
        <v>143</v>
      </c>
      <c r="B45" t="s">
        <v>128</v>
      </c>
      <c r="C45" t="s">
        <v>129</v>
      </c>
      <c r="D45" s="1">
        <v>45849</v>
      </c>
      <c r="E45" t="s">
        <v>109</v>
      </c>
      <c r="F45" t="s">
        <v>58</v>
      </c>
      <c r="G45" s="6">
        <f t="shared" si="12"/>
        <v>5</v>
      </c>
      <c r="H45" s="2">
        <v>826.77</v>
      </c>
      <c r="I45" t="s">
        <v>40</v>
      </c>
      <c r="J45" t="s">
        <v>37</v>
      </c>
      <c r="K45" s="2">
        <v>4133.8500000000004</v>
      </c>
      <c r="L45" s="2"/>
      <c r="M45" s="2"/>
      <c r="N45"/>
      <c r="O45" s="5">
        <v>11</v>
      </c>
      <c r="P45">
        <v>7</v>
      </c>
      <c r="Q45">
        <v>2025</v>
      </c>
      <c r="R45" s="1">
        <f t="shared" si="13"/>
        <v>45849</v>
      </c>
      <c r="T45">
        <v>5</v>
      </c>
      <c r="U45">
        <f t="shared" si="5"/>
        <v>5</v>
      </c>
      <c r="V45">
        <f t="shared" si="6"/>
        <v>5</v>
      </c>
      <c r="W45">
        <f t="shared" si="7"/>
        <v>5</v>
      </c>
      <c r="X45">
        <f t="shared" si="8"/>
        <v>5</v>
      </c>
      <c r="Z45" s="6">
        <f t="shared" si="9"/>
        <v>5</v>
      </c>
      <c r="AA45">
        <f t="shared" si="14"/>
        <v>826.77</v>
      </c>
      <c r="AB45" s="2">
        <f t="shared" si="10"/>
        <v>826.77</v>
      </c>
      <c r="AC45" s="2">
        <f t="shared" si="15"/>
        <v>4133.8500000000004</v>
      </c>
      <c r="AD45" t="str">
        <f t="shared" si="16"/>
        <v>Clothing</v>
      </c>
      <c r="AE45" t="str">
        <f t="shared" si="11"/>
        <v>Clothing</v>
      </c>
      <c r="AF45" t="str" cm="1">
        <f t="array" ref="AF45">IF(OR(F45=0,F45="0"),   _xlfn.XLOOKUP(E45, _xlfn._xlws.FILTER(E:E, (F:F&lt;&gt;"0")*(F:F&lt;&gt;0)), _xlfn._xlws.FILTER(F:F, (F:F&lt;&gt;"0")*(F:F&lt;&gt;0)), ""),F45)</f>
        <v>Clothing</v>
      </c>
    </row>
    <row r="46" spans="1:32" x14ac:dyDescent="0.3">
      <c r="A46">
        <v>144</v>
      </c>
      <c r="B46" t="s">
        <v>130</v>
      </c>
      <c r="C46" t="s">
        <v>131</v>
      </c>
      <c r="D46" s="1">
        <v>45684</v>
      </c>
      <c r="E46" t="s">
        <v>132</v>
      </c>
      <c r="F46" t="s">
        <v>26</v>
      </c>
      <c r="G46" s="6">
        <f t="shared" si="12"/>
        <v>5</v>
      </c>
      <c r="H46" s="2">
        <v>849.07</v>
      </c>
      <c r="I46" t="s">
        <v>40</v>
      </c>
      <c r="J46" t="s">
        <v>22</v>
      </c>
      <c r="K46" s="2">
        <v>4245.3500000000004</v>
      </c>
      <c r="L46" s="2"/>
      <c r="M46" s="2"/>
      <c r="N46"/>
      <c r="O46" s="4">
        <v>27</v>
      </c>
      <c r="P46">
        <v>1</v>
      </c>
      <c r="Q46">
        <v>2025</v>
      </c>
      <c r="R46" s="1">
        <f t="shared" si="13"/>
        <v>45684</v>
      </c>
      <c r="T46">
        <v>5</v>
      </c>
      <c r="U46">
        <f t="shared" si="5"/>
        <v>5</v>
      </c>
      <c r="V46">
        <f t="shared" si="6"/>
        <v>5</v>
      </c>
      <c r="W46">
        <f t="shared" si="7"/>
        <v>5</v>
      </c>
      <c r="X46">
        <f t="shared" si="8"/>
        <v>5</v>
      </c>
      <c r="Z46" s="6">
        <f t="shared" si="9"/>
        <v>5</v>
      </c>
      <c r="AA46">
        <f t="shared" si="14"/>
        <v>849.07</v>
      </c>
      <c r="AB46" s="2">
        <f t="shared" si="10"/>
        <v>849.07</v>
      </c>
      <c r="AC46" s="2">
        <f t="shared" si="15"/>
        <v>4245.3500000000004</v>
      </c>
      <c r="AD46" t="str">
        <f t="shared" si="16"/>
        <v>Sports</v>
      </c>
      <c r="AE46" t="str">
        <f t="shared" si="11"/>
        <v>Sports</v>
      </c>
      <c r="AF46" t="str" cm="1">
        <f t="array" ref="AF46">IF(OR(F46=0,F46="0"),   _xlfn.XLOOKUP(E46, _xlfn._xlws.FILTER(E:E, (F:F&lt;&gt;"0")*(F:F&lt;&gt;0)), _xlfn._xlws.FILTER(F:F, (F:F&lt;&gt;"0")*(F:F&lt;&gt;0)), ""),F46)</f>
        <v>Sports</v>
      </c>
    </row>
    <row r="47" spans="1:32" x14ac:dyDescent="0.3">
      <c r="A47">
        <v>145</v>
      </c>
      <c r="B47" t="s">
        <v>133</v>
      </c>
      <c r="C47" t="s">
        <v>134</v>
      </c>
      <c r="D47" s="1">
        <v>44931</v>
      </c>
      <c r="E47" t="s">
        <v>135</v>
      </c>
      <c r="F47" t="s">
        <v>20</v>
      </c>
      <c r="G47" s="6">
        <f t="shared" si="12"/>
        <v>2</v>
      </c>
      <c r="H47" s="2">
        <v>860.99</v>
      </c>
      <c r="I47" t="s">
        <v>40</v>
      </c>
      <c r="J47" t="s">
        <v>43</v>
      </c>
      <c r="K47" s="2">
        <v>1721.98</v>
      </c>
      <c r="L47" s="2"/>
      <c r="M47" s="2"/>
      <c r="N47"/>
      <c r="O47" s="5">
        <v>5</v>
      </c>
      <c r="P47">
        <v>1</v>
      </c>
      <c r="Q47">
        <v>2023</v>
      </c>
      <c r="R47" s="1">
        <f t="shared" si="13"/>
        <v>44931</v>
      </c>
      <c r="T47">
        <v>2</v>
      </c>
      <c r="U47">
        <f t="shared" si="5"/>
        <v>2</v>
      </c>
      <c r="V47">
        <f t="shared" si="6"/>
        <v>2</v>
      </c>
      <c r="W47">
        <f t="shared" si="7"/>
        <v>2</v>
      </c>
      <c r="X47">
        <f t="shared" si="8"/>
        <v>2</v>
      </c>
      <c r="Z47" s="6">
        <f t="shared" si="9"/>
        <v>2</v>
      </c>
      <c r="AA47">
        <f t="shared" si="14"/>
        <v>860.99</v>
      </c>
      <c r="AB47" s="2">
        <f t="shared" si="10"/>
        <v>860.99</v>
      </c>
      <c r="AC47" s="2">
        <f t="shared" si="15"/>
        <v>1721.98</v>
      </c>
      <c r="AD47" t="str">
        <f t="shared" si="16"/>
        <v>Electronics</v>
      </c>
      <c r="AE47" t="str">
        <f t="shared" si="11"/>
        <v>Electronics</v>
      </c>
      <c r="AF47" t="str" cm="1">
        <f t="array" ref="AF47">IF(OR(F47=0,F47="0"),   _xlfn.XLOOKUP(E47, _xlfn._xlws.FILTER(E:E, (F:F&lt;&gt;"0")*(F:F&lt;&gt;0)), _xlfn._xlws.FILTER(F:F, (F:F&lt;&gt;"0")*(F:F&lt;&gt;0)), ""),F47)</f>
        <v>Electronics</v>
      </c>
    </row>
    <row r="48" spans="1:32" x14ac:dyDescent="0.3">
      <c r="A48">
        <v>146</v>
      </c>
      <c r="B48" t="s">
        <v>136</v>
      </c>
      <c r="C48" t="s">
        <v>137</v>
      </c>
      <c r="D48" s="1">
        <v>45847</v>
      </c>
      <c r="E48" t="s">
        <v>51</v>
      </c>
      <c r="F48" t="s">
        <v>20</v>
      </c>
      <c r="G48" s="6">
        <f t="shared" si="12"/>
        <v>2</v>
      </c>
      <c r="H48" s="2">
        <v>705.42</v>
      </c>
      <c r="I48" t="s">
        <v>40</v>
      </c>
      <c r="J48" t="s">
        <v>22</v>
      </c>
      <c r="K48" s="2">
        <v>1410.84</v>
      </c>
      <c r="L48" s="2"/>
      <c r="M48" s="2"/>
      <c r="N48"/>
      <c r="O48" s="4">
        <v>9</v>
      </c>
      <c r="P48">
        <v>7</v>
      </c>
      <c r="Q48">
        <v>2025</v>
      </c>
      <c r="R48" s="1">
        <f t="shared" si="13"/>
        <v>45847</v>
      </c>
      <c r="T48">
        <v>2</v>
      </c>
      <c r="U48">
        <f t="shared" si="5"/>
        <v>2</v>
      </c>
      <c r="V48">
        <f t="shared" si="6"/>
        <v>2</v>
      </c>
      <c r="W48">
        <f t="shared" si="7"/>
        <v>2</v>
      </c>
      <c r="X48">
        <f t="shared" si="8"/>
        <v>2</v>
      </c>
      <c r="Z48" s="6">
        <f t="shared" si="9"/>
        <v>2</v>
      </c>
      <c r="AA48">
        <f t="shared" si="14"/>
        <v>705.42</v>
      </c>
      <c r="AB48" s="2">
        <f t="shared" si="10"/>
        <v>705.42</v>
      </c>
      <c r="AC48" s="2">
        <f t="shared" si="15"/>
        <v>1410.84</v>
      </c>
      <c r="AD48" t="str">
        <f t="shared" si="16"/>
        <v>Electronics</v>
      </c>
      <c r="AE48" t="str">
        <f t="shared" si="11"/>
        <v>Electronics</v>
      </c>
      <c r="AF48" t="str" cm="1">
        <f t="array" ref="AF48">IF(OR(F48=0,F48="0"),   _xlfn.XLOOKUP(E48, _xlfn._xlws.FILTER(E:E, (F:F&lt;&gt;"0")*(F:F&lt;&gt;0)), _xlfn._xlws.FILTER(F:F, (F:F&lt;&gt;"0")*(F:F&lt;&gt;0)), ""),F48)</f>
        <v>Electronics</v>
      </c>
    </row>
    <row r="49" spans="1:32" x14ac:dyDescent="0.3">
      <c r="A49">
        <v>147</v>
      </c>
      <c r="B49" t="s">
        <v>138</v>
      </c>
      <c r="C49" t="s">
        <v>139</v>
      </c>
      <c r="D49" s="1">
        <v>45778</v>
      </c>
      <c r="E49" t="s">
        <v>140</v>
      </c>
      <c r="F49" t="s">
        <v>58</v>
      </c>
      <c r="G49" s="6">
        <f t="shared" si="12"/>
        <v>4</v>
      </c>
      <c r="H49" s="2">
        <v>596.15</v>
      </c>
      <c r="I49" t="s">
        <v>15</v>
      </c>
      <c r="J49" t="s">
        <v>16</v>
      </c>
      <c r="K49" s="2">
        <v>2384.6</v>
      </c>
      <c r="L49" s="2"/>
      <c r="M49" s="2"/>
      <c r="N49"/>
      <c r="O49" s="5">
        <v>1</v>
      </c>
      <c r="P49">
        <v>5</v>
      </c>
      <c r="Q49">
        <v>2025</v>
      </c>
      <c r="R49" s="1">
        <f t="shared" si="13"/>
        <v>45778</v>
      </c>
      <c r="T49">
        <v>4</v>
      </c>
      <c r="U49">
        <f t="shared" si="5"/>
        <v>4</v>
      </c>
      <c r="V49">
        <f t="shared" si="6"/>
        <v>4</v>
      </c>
      <c r="W49">
        <f t="shared" si="7"/>
        <v>4</v>
      </c>
      <c r="X49">
        <f t="shared" si="8"/>
        <v>4</v>
      </c>
      <c r="Z49" s="6">
        <f t="shared" si="9"/>
        <v>4</v>
      </c>
      <c r="AA49">
        <f t="shared" si="14"/>
        <v>596.15</v>
      </c>
      <c r="AB49" s="2">
        <f t="shared" si="10"/>
        <v>596.15</v>
      </c>
      <c r="AC49" s="2">
        <f t="shared" si="15"/>
        <v>2384.6</v>
      </c>
      <c r="AD49" t="str">
        <f t="shared" si="16"/>
        <v>Clothing</v>
      </c>
      <c r="AE49" t="str">
        <f t="shared" si="11"/>
        <v>Clothing</v>
      </c>
      <c r="AF49" t="str" cm="1">
        <f t="array" ref="AF49">IF(OR(F49=0,F49="0"),   _xlfn.XLOOKUP(E49, _xlfn._xlws.FILTER(E:E, (F:F&lt;&gt;"0")*(F:F&lt;&gt;0)), _xlfn._xlws.FILTER(F:F, (F:F&lt;&gt;"0")*(F:F&lt;&gt;0)), ""),F49)</f>
        <v>Clothing</v>
      </c>
    </row>
    <row r="50" spans="1:32" x14ac:dyDescent="0.3">
      <c r="A50">
        <v>148</v>
      </c>
      <c r="B50" t="s">
        <v>141</v>
      </c>
      <c r="C50" t="s">
        <v>142</v>
      </c>
      <c r="D50" s="1">
        <v>45729</v>
      </c>
      <c r="E50" t="s">
        <v>25</v>
      </c>
      <c r="F50" t="s">
        <v>26</v>
      </c>
      <c r="G50" s="6">
        <f t="shared" si="12"/>
        <v>1</v>
      </c>
      <c r="H50" s="2">
        <v>660.98</v>
      </c>
      <c r="I50" t="s">
        <v>15</v>
      </c>
      <c r="J50" t="s">
        <v>43</v>
      </c>
      <c r="K50" s="2">
        <v>660.98</v>
      </c>
      <c r="L50" s="2"/>
      <c r="M50" s="2"/>
      <c r="N50"/>
      <c r="O50" s="4">
        <v>13</v>
      </c>
      <c r="P50">
        <v>3</v>
      </c>
      <c r="Q50">
        <v>2025</v>
      </c>
      <c r="R50" s="1">
        <f t="shared" si="13"/>
        <v>45729</v>
      </c>
      <c r="T50">
        <v>1</v>
      </c>
      <c r="U50">
        <f t="shared" si="5"/>
        <v>1</v>
      </c>
      <c r="V50">
        <f t="shared" si="6"/>
        <v>1</v>
      </c>
      <c r="W50">
        <f t="shared" si="7"/>
        <v>1</v>
      </c>
      <c r="X50">
        <f t="shared" si="8"/>
        <v>1</v>
      </c>
      <c r="Z50" s="6">
        <f t="shared" si="9"/>
        <v>1</v>
      </c>
      <c r="AA50">
        <f t="shared" si="14"/>
        <v>660.98</v>
      </c>
      <c r="AB50" s="2">
        <f t="shared" si="10"/>
        <v>660.98</v>
      </c>
      <c r="AC50" s="2">
        <f t="shared" si="15"/>
        <v>660.98</v>
      </c>
      <c r="AD50" t="str">
        <f t="shared" si="16"/>
        <v>Sports</v>
      </c>
      <c r="AE50" t="str">
        <f t="shared" si="11"/>
        <v>Sports</v>
      </c>
      <c r="AF50" t="str" cm="1">
        <f t="array" ref="AF50">IF(OR(F50=0,F50="0"),   _xlfn.XLOOKUP(E50, _xlfn._xlws.FILTER(E:E, (F:F&lt;&gt;"0")*(F:F&lt;&gt;0)), _xlfn._xlws.FILTER(F:F, (F:F&lt;&gt;"0")*(F:F&lt;&gt;0)), ""),F50)</f>
        <v>Sports</v>
      </c>
    </row>
    <row r="51" spans="1:32" x14ac:dyDescent="0.3">
      <c r="A51">
        <v>149</v>
      </c>
      <c r="B51" t="s">
        <v>143</v>
      </c>
      <c r="C51" t="s">
        <v>144</v>
      </c>
      <c r="D51" s="1">
        <v>45837</v>
      </c>
      <c r="E51" t="s">
        <v>54</v>
      </c>
      <c r="F51" t="s">
        <v>31</v>
      </c>
      <c r="G51" s="6">
        <f t="shared" si="12"/>
        <v>5</v>
      </c>
      <c r="H51" s="2">
        <v>896.38</v>
      </c>
      <c r="I51" t="s">
        <v>40</v>
      </c>
      <c r="J51" t="s">
        <v>37</v>
      </c>
      <c r="K51" s="2">
        <v>4481.8999999999996</v>
      </c>
      <c r="L51" s="2"/>
      <c r="M51" s="2"/>
      <c r="N51"/>
      <c r="O51" s="5">
        <v>29</v>
      </c>
      <c r="P51">
        <v>6</v>
      </c>
      <c r="Q51">
        <v>2025</v>
      </c>
      <c r="R51" s="1">
        <f t="shared" si="13"/>
        <v>45837</v>
      </c>
      <c r="T51">
        <v>5</v>
      </c>
      <c r="U51">
        <f t="shared" si="5"/>
        <v>5</v>
      </c>
      <c r="V51">
        <f t="shared" si="6"/>
        <v>5</v>
      </c>
      <c r="W51">
        <f t="shared" si="7"/>
        <v>5</v>
      </c>
      <c r="X51">
        <f t="shared" si="8"/>
        <v>5</v>
      </c>
      <c r="Z51" s="6">
        <f t="shared" si="9"/>
        <v>5</v>
      </c>
      <c r="AA51">
        <f t="shared" si="14"/>
        <v>896.38</v>
      </c>
      <c r="AB51" s="2">
        <f t="shared" si="10"/>
        <v>896.38</v>
      </c>
      <c r="AC51" s="2">
        <f t="shared" si="15"/>
        <v>4481.8999999999996</v>
      </c>
      <c r="AD51" t="str">
        <f t="shared" si="16"/>
        <v>Books</v>
      </c>
      <c r="AE51" t="str">
        <f t="shared" si="11"/>
        <v>Books</v>
      </c>
      <c r="AF51" t="str" cm="1">
        <f t="array" ref="AF51">IF(OR(F51=0,F51="0"),   _xlfn.XLOOKUP(E51, _xlfn._xlws.FILTER(E:E, (F:F&lt;&gt;"0")*(F:F&lt;&gt;0)), _xlfn._xlws.FILTER(F:F, (F:F&lt;&gt;"0")*(F:F&lt;&gt;0)), ""),F51)</f>
        <v>Books</v>
      </c>
    </row>
    <row r="52" spans="1:32" x14ac:dyDescent="0.3">
      <c r="A52">
        <v>150</v>
      </c>
      <c r="B52" t="s">
        <v>145</v>
      </c>
      <c r="C52" t="s">
        <v>146</v>
      </c>
      <c r="D52" s="1">
        <v>45623</v>
      </c>
      <c r="E52" t="s">
        <v>78</v>
      </c>
      <c r="F52" t="s">
        <v>26</v>
      </c>
      <c r="G52" s="6">
        <f t="shared" si="12"/>
        <v>1</v>
      </c>
      <c r="H52" s="2">
        <v>206.19</v>
      </c>
      <c r="I52" t="s">
        <v>48</v>
      </c>
      <c r="J52" t="s">
        <v>43</v>
      </c>
      <c r="K52" s="2">
        <v>206.19</v>
      </c>
      <c r="L52" s="2"/>
      <c r="M52" s="2"/>
      <c r="N52"/>
      <c r="O52" s="4">
        <v>27</v>
      </c>
      <c r="P52">
        <v>11</v>
      </c>
      <c r="Q52">
        <v>2024</v>
      </c>
      <c r="R52" s="1">
        <f t="shared" si="13"/>
        <v>45623</v>
      </c>
      <c r="T52">
        <v>1</v>
      </c>
      <c r="U52">
        <f t="shared" si="5"/>
        <v>1</v>
      </c>
      <c r="V52">
        <f t="shared" si="6"/>
        <v>1</v>
      </c>
      <c r="W52">
        <f t="shared" si="7"/>
        <v>1</v>
      </c>
      <c r="X52">
        <f t="shared" si="8"/>
        <v>1</v>
      </c>
      <c r="Z52" s="6">
        <f t="shared" si="9"/>
        <v>1</v>
      </c>
      <c r="AA52">
        <f t="shared" si="14"/>
        <v>206.19</v>
      </c>
      <c r="AB52" s="2">
        <f t="shared" si="10"/>
        <v>206.19</v>
      </c>
      <c r="AC52" s="2">
        <f t="shared" si="15"/>
        <v>206.19</v>
      </c>
      <c r="AD52" t="str">
        <f t="shared" si="16"/>
        <v>Sports</v>
      </c>
      <c r="AE52" t="str">
        <f t="shared" si="11"/>
        <v>Sports</v>
      </c>
      <c r="AF52" t="str" cm="1">
        <f t="array" ref="AF52">IF(OR(F52=0,F52="0"),   _xlfn.XLOOKUP(E52, _xlfn._xlws.FILTER(E:E, (F:F&lt;&gt;"0")*(F:F&lt;&gt;0)), _xlfn._xlws.FILTER(F:F, (F:F&lt;&gt;"0")*(F:F&lt;&gt;0)), ""),F52)</f>
        <v>Sports</v>
      </c>
    </row>
    <row r="53" spans="1:32" x14ac:dyDescent="0.3">
      <c r="A53">
        <v>151</v>
      </c>
      <c r="B53" t="s">
        <v>147</v>
      </c>
      <c r="C53" t="s">
        <v>148</v>
      </c>
      <c r="D53" s="1">
        <v>45839</v>
      </c>
      <c r="E53" t="s">
        <v>54</v>
      </c>
      <c r="F53" t="s">
        <v>31</v>
      </c>
      <c r="G53" s="6">
        <f t="shared" si="12"/>
        <v>2</v>
      </c>
      <c r="H53" s="2">
        <v>457.16</v>
      </c>
      <c r="I53" t="s">
        <v>21</v>
      </c>
      <c r="J53" t="s">
        <v>22</v>
      </c>
      <c r="K53" s="2">
        <v>914.32</v>
      </c>
      <c r="L53" s="2"/>
      <c r="M53" s="2"/>
      <c r="N53"/>
      <c r="O53" s="5">
        <v>1</v>
      </c>
      <c r="P53">
        <v>7</v>
      </c>
      <c r="Q53">
        <v>2025</v>
      </c>
      <c r="R53" s="1">
        <f t="shared" si="13"/>
        <v>45839</v>
      </c>
      <c r="T53">
        <v>2</v>
      </c>
      <c r="U53">
        <f t="shared" si="5"/>
        <v>2</v>
      </c>
      <c r="V53">
        <f t="shared" si="6"/>
        <v>2</v>
      </c>
      <c r="W53">
        <f t="shared" si="7"/>
        <v>2</v>
      </c>
      <c r="X53">
        <f t="shared" si="8"/>
        <v>2</v>
      </c>
      <c r="Z53" s="6">
        <f t="shared" si="9"/>
        <v>2</v>
      </c>
      <c r="AA53">
        <f t="shared" si="14"/>
        <v>457.16</v>
      </c>
      <c r="AB53" s="2">
        <f t="shared" si="10"/>
        <v>457.16</v>
      </c>
      <c r="AC53" s="2">
        <f t="shared" si="15"/>
        <v>914.32</v>
      </c>
      <c r="AD53" t="str">
        <f t="shared" si="16"/>
        <v>Books</v>
      </c>
      <c r="AE53" t="str">
        <f t="shared" si="11"/>
        <v>Books</v>
      </c>
      <c r="AF53" t="str" cm="1">
        <f t="array" ref="AF53">IF(OR(F53=0,F53="0"),   _xlfn.XLOOKUP(E53, _xlfn._xlws.FILTER(E:E, (F:F&lt;&gt;"0")*(F:F&lt;&gt;0)), _xlfn._xlws.FILTER(F:F, (F:F&lt;&gt;"0")*(F:F&lt;&gt;0)), ""),F53)</f>
        <v>Books</v>
      </c>
    </row>
    <row r="54" spans="1:32" x14ac:dyDescent="0.3">
      <c r="A54">
        <v>152</v>
      </c>
      <c r="B54" t="s">
        <v>149</v>
      </c>
      <c r="C54" t="s">
        <v>150</v>
      </c>
      <c r="D54" s="1">
        <v>45922</v>
      </c>
      <c r="E54" t="s">
        <v>96</v>
      </c>
      <c r="F54" t="s">
        <v>14</v>
      </c>
      <c r="G54" s="6">
        <f t="shared" si="12"/>
        <v>3</v>
      </c>
      <c r="H54" s="2">
        <v>233.11</v>
      </c>
      <c r="I54" t="s">
        <v>21</v>
      </c>
      <c r="J54" t="s">
        <v>43</v>
      </c>
      <c r="K54" s="2">
        <v>699.33</v>
      </c>
      <c r="L54" s="2"/>
      <c r="M54" s="2"/>
      <c r="N54"/>
      <c r="O54" s="4">
        <v>22</v>
      </c>
      <c r="P54">
        <v>9</v>
      </c>
      <c r="Q54">
        <v>2025</v>
      </c>
      <c r="R54" s="1">
        <f t="shared" si="13"/>
        <v>45922</v>
      </c>
      <c r="T54">
        <v>3</v>
      </c>
      <c r="U54">
        <f t="shared" si="5"/>
        <v>3</v>
      </c>
      <c r="V54">
        <f t="shared" si="6"/>
        <v>3</v>
      </c>
      <c r="W54">
        <f t="shared" si="7"/>
        <v>3</v>
      </c>
      <c r="X54">
        <f t="shared" si="8"/>
        <v>3</v>
      </c>
      <c r="Z54" s="6">
        <f t="shared" si="9"/>
        <v>3</v>
      </c>
      <c r="AA54">
        <f t="shared" si="14"/>
        <v>233.11</v>
      </c>
      <c r="AB54" s="2">
        <f t="shared" si="10"/>
        <v>233.11</v>
      </c>
      <c r="AC54" s="2">
        <f t="shared" si="15"/>
        <v>699.33</v>
      </c>
      <c r="AD54" t="str">
        <f t="shared" si="16"/>
        <v>Home</v>
      </c>
      <c r="AE54" t="str">
        <f t="shared" si="11"/>
        <v>Home</v>
      </c>
      <c r="AF54" t="str" cm="1">
        <f t="array" ref="AF54">IF(OR(F54=0,F54="0"),   _xlfn.XLOOKUP(E54, _xlfn._xlws.FILTER(E:E, (F:F&lt;&gt;"0")*(F:F&lt;&gt;0)), _xlfn._xlws.FILTER(F:F, (F:F&lt;&gt;"0")*(F:F&lt;&gt;0)), ""),F54)</f>
        <v>Home</v>
      </c>
    </row>
    <row r="55" spans="1:32" x14ac:dyDescent="0.3">
      <c r="A55">
        <v>153</v>
      </c>
      <c r="B55" t="s">
        <v>151</v>
      </c>
      <c r="C55" t="s">
        <v>152</v>
      </c>
      <c r="D55" s="1">
        <v>45854</v>
      </c>
      <c r="E55" t="s">
        <v>78</v>
      </c>
      <c r="F55" t="s">
        <v>26</v>
      </c>
      <c r="G55" s="6">
        <f t="shared" si="12"/>
        <v>4</v>
      </c>
      <c r="H55" s="2">
        <v>278.89999999999998</v>
      </c>
      <c r="I55" t="s">
        <v>15</v>
      </c>
      <c r="J55" t="s">
        <v>22</v>
      </c>
      <c r="K55" s="2">
        <v>1115.5999999999999</v>
      </c>
      <c r="L55" s="2"/>
      <c r="M55" s="2"/>
      <c r="N55"/>
      <c r="O55" s="5">
        <v>16</v>
      </c>
      <c r="P55">
        <v>7</v>
      </c>
      <c r="Q55">
        <v>2025</v>
      </c>
      <c r="R55" s="1">
        <f t="shared" si="13"/>
        <v>45854</v>
      </c>
      <c r="T55">
        <v>4</v>
      </c>
      <c r="U55">
        <f t="shared" si="5"/>
        <v>4</v>
      </c>
      <c r="V55">
        <f t="shared" si="6"/>
        <v>4</v>
      </c>
      <c r="W55">
        <f t="shared" si="7"/>
        <v>4</v>
      </c>
      <c r="X55">
        <f t="shared" si="8"/>
        <v>4</v>
      </c>
      <c r="Z55" s="6">
        <f t="shared" si="9"/>
        <v>4</v>
      </c>
      <c r="AA55">
        <f t="shared" si="14"/>
        <v>278.89999999999998</v>
      </c>
      <c r="AB55" s="2">
        <f t="shared" si="10"/>
        <v>278.89999999999998</v>
      </c>
      <c r="AC55" s="2">
        <f t="shared" si="15"/>
        <v>1115.5999999999999</v>
      </c>
      <c r="AD55" t="str">
        <f t="shared" si="16"/>
        <v>Sports</v>
      </c>
      <c r="AE55" t="str">
        <f t="shared" si="11"/>
        <v>Sports</v>
      </c>
      <c r="AF55" t="str" cm="1">
        <f t="array" ref="AF55">IF(OR(F55=0,F55="0"),   _xlfn.XLOOKUP(E55, _xlfn._xlws.FILTER(E:E, (F:F&lt;&gt;"0")*(F:F&lt;&gt;0)), _xlfn._xlws.FILTER(F:F, (F:F&lt;&gt;"0")*(F:F&lt;&gt;0)), ""),F55)</f>
        <v>Sports</v>
      </c>
    </row>
    <row r="56" spans="1:32" x14ac:dyDescent="0.3">
      <c r="A56">
        <v>154</v>
      </c>
      <c r="B56" t="s">
        <v>153</v>
      </c>
      <c r="C56" t="s">
        <v>154</v>
      </c>
      <c r="D56" s="1">
        <v>45709</v>
      </c>
      <c r="E56" t="s">
        <v>13</v>
      </c>
      <c r="F56" t="s">
        <v>14</v>
      </c>
      <c r="G56" s="6">
        <f t="shared" si="12"/>
        <v>5</v>
      </c>
      <c r="H56" s="2">
        <v>789.64</v>
      </c>
      <c r="I56" t="s">
        <v>15</v>
      </c>
      <c r="J56" t="s">
        <v>37</v>
      </c>
      <c r="K56" s="2">
        <v>3948.2</v>
      </c>
      <c r="L56" s="2"/>
      <c r="M56" s="2"/>
      <c r="N56"/>
      <c r="O56" s="4">
        <v>21</v>
      </c>
      <c r="P56">
        <v>2</v>
      </c>
      <c r="Q56">
        <v>2025</v>
      </c>
      <c r="R56" s="1">
        <f t="shared" si="13"/>
        <v>45709</v>
      </c>
      <c r="T56">
        <v>5</v>
      </c>
      <c r="U56">
        <f t="shared" si="5"/>
        <v>5</v>
      </c>
      <c r="V56">
        <f t="shared" si="6"/>
        <v>5</v>
      </c>
      <c r="W56">
        <f t="shared" si="7"/>
        <v>5</v>
      </c>
      <c r="X56">
        <f t="shared" si="8"/>
        <v>5</v>
      </c>
      <c r="Z56" s="6">
        <f t="shared" si="9"/>
        <v>5</v>
      </c>
      <c r="AA56">
        <f t="shared" si="14"/>
        <v>789.64</v>
      </c>
      <c r="AB56" s="2">
        <f t="shared" si="10"/>
        <v>789.64</v>
      </c>
      <c r="AC56" s="2">
        <f t="shared" si="15"/>
        <v>3948.2</v>
      </c>
      <c r="AD56" t="str">
        <f t="shared" si="16"/>
        <v>Home</v>
      </c>
      <c r="AE56" t="str">
        <f t="shared" si="11"/>
        <v>Home</v>
      </c>
      <c r="AF56" t="str" cm="1">
        <f t="array" ref="AF56">IF(OR(F56=0,F56="0"),   _xlfn.XLOOKUP(E56, _xlfn._xlws.FILTER(E:E, (F:F&lt;&gt;"0")*(F:F&lt;&gt;0)), _xlfn._xlws.FILTER(F:F, (F:F&lt;&gt;"0")*(F:F&lt;&gt;0)), ""),F56)</f>
        <v>Home</v>
      </c>
    </row>
    <row r="57" spans="1:32" x14ac:dyDescent="0.3">
      <c r="A57">
        <v>155</v>
      </c>
      <c r="B57" t="s">
        <v>155</v>
      </c>
      <c r="C57" t="s">
        <v>156</v>
      </c>
      <c r="D57" s="1">
        <v>45778</v>
      </c>
      <c r="E57" t="s">
        <v>157</v>
      </c>
      <c r="F57" t="s">
        <v>58</v>
      </c>
      <c r="G57" s="6">
        <f t="shared" si="12"/>
        <v>1</v>
      </c>
      <c r="H57" s="2">
        <v>40.950000000000003</v>
      </c>
      <c r="I57" t="s">
        <v>21</v>
      </c>
      <c r="J57" t="s">
        <v>43</v>
      </c>
      <c r="K57" s="2">
        <v>40.950000000000003</v>
      </c>
      <c r="L57" s="2"/>
      <c r="M57" s="2"/>
      <c r="N57"/>
      <c r="O57" s="5">
        <v>1</v>
      </c>
      <c r="P57">
        <v>5</v>
      </c>
      <c r="Q57">
        <v>2025</v>
      </c>
      <c r="R57" s="1">
        <f t="shared" si="13"/>
        <v>45778</v>
      </c>
      <c r="T57">
        <v>1</v>
      </c>
      <c r="U57">
        <f t="shared" si="5"/>
        <v>1</v>
      </c>
      <c r="V57">
        <f t="shared" si="6"/>
        <v>1</v>
      </c>
      <c r="W57">
        <f t="shared" si="7"/>
        <v>1</v>
      </c>
      <c r="X57">
        <f t="shared" si="8"/>
        <v>1</v>
      </c>
      <c r="Z57" s="6">
        <f t="shared" si="9"/>
        <v>1</v>
      </c>
      <c r="AA57">
        <f t="shared" si="14"/>
        <v>40.950000000000003</v>
      </c>
      <c r="AB57" s="2">
        <f t="shared" si="10"/>
        <v>40.950000000000003</v>
      </c>
      <c r="AC57" s="2">
        <f t="shared" si="15"/>
        <v>40.950000000000003</v>
      </c>
      <c r="AD57" t="str">
        <f t="shared" si="16"/>
        <v>Clothing</v>
      </c>
      <c r="AE57" t="str">
        <f t="shared" si="11"/>
        <v>Clothing</v>
      </c>
      <c r="AF57" t="str" cm="1">
        <f t="array" ref="AF57">IF(OR(F57=0,F57="0"),   _xlfn.XLOOKUP(E57, _xlfn._xlws.FILTER(E:E, (F:F&lt;&gt;"0")*(F:F&lt;&gt;0)), _xlfn._xlws.FILTER(F:F, (F:F&lt;&gt;"0")*(F:F&lt;&gt;0)), ""),F57)</f>
        <v>Clothing</v>
      </c>
    </row>
    <row r="58" spans="1:32" x14ac:dyDescent="0.3">
      <c r="A58">
        <v>156</v>
      </c>
      <c r="B58" t="s">
        <v>158</v>
      </c>
      <c r="C58" t="s">
        <v>159</v>
      </c>
      <c r="D58" s="1">
        <v>45624</v>
      </c>
      <c r="E58" t="s">
        <v>160</v>
      </c>
      <c r="F58" t="s">
        <v>58</v>
      </c>
      <c r="G58" s="6">
        <f t="shared" si="12"/>
        <v>2</v>
      </c>
      <c r="H58" s="2">
        <v>621.52978021978015</v>
      </c>
      <c r="I58" t="s">
        <v>40</v>
      </c>
      <c r="J58" t="s">
        <v>16</v>
      </c>
      <c r="K58" s="2">
        <v>1243.0595604395603</v>
      </c>
      <c r="L58" s="2"/>
      <c r="M58" s="2"/>
      <c r="N58"/>
      <c r="O58" s="4">
        <v>28</v>
      </c>
      <c r="P58">
        <v>11</v>
      </c>
      <c r="Q58">
        <v>2024</v>
      </c>
      <c r="R58" s="1">
        <f t="shared" si="13"/>
        <v>45624</v>
      </c>
      <c r="T58">
        <v>2</v>
      </c>
      <c r="U58">
        <f t="shared" si="5"/>
        <v>2</v>
      </c>
      <c r="V58">
        <f t="shared" si="6"/>
        <v>2</v>
      </c>
      <c r="W58">
        <f t="shared" si="7"/>
        <v>2</v>
      </c>
      <c r="X58">
        <f t="shared" si="8"/>
        <v>2</v>
      </c>
      <c r="Z58" s="6">
        <f t="shared" si="9"/>
        <v>2</v>
      </c>
      <c r="AA58">
        <f t="shared" si="14"/>
        <v>621.52978021978004</v>
      </c>
      <c r="AB58" s="2">
        <f t="shared" si="10"/>
        <v>621.52978021978004</v>
      </c>
      <c r="AC58" s="2">
        <f t="shared" si="15"/>
        <v>1243.0595604395603</v>
      </c>
      <c r="AD58" t="str">
        <f t="shared" si="16"/>
        <v>Clothing</v>
      </c>
      <c r="AE58" t="str">
        <f t="shared" si="11"/>
        <v>Clothing</v>
      </c>
      <c r="AF58" t="str" cm="1">
        <f t="array" ref="AF58">IF(OR(F58=0,F58="0"),   _xlfn.XLOOKUP(E58, _xlfn._xlws.FILTER(E:E, (F:F&lt;&gt;"0")*(F:F&lt;&gt;0)), _xlfn._xlws.FILTER(F:F, (F:F&lt;&gt;"0")*(F:F&lt;&gt;0)), ""),F58)</f>
        <v>Clothing</v>
      </c>
    </row>
    <row r="59" spans="1:32" x14ac:dyDescent="0.3">
      <c r="A59">
        <v>157</v>
      </c>
      <c r="B59" t="s">
        <v>161</v>
      </c>
      <c r="C59" t="s">
        <v>162</v>
      </c>
      <c r="D59" s="1">
        <v>45967</v>
      </c>
      <c r="E59" t="s">
        <v>140</v>
      </c>
      <c r="F59" t="s">
        <v>58</v>
      </c>
      <c r="G59" s="6">
        <f t="shared" si="12"/>
        <v>4</v>
      </c>
      <c r="H59" s="2">
        <v>275.10000000000002</v>
      </c>
      <c r="I59" t="s">
        <v>40</v>
      </c>
      <c r="J59" t="s">
        <v>22</v>
      </c>
      <c r="K59" s="2">
        <v>1100.4000000000001</v>
      </c>
      <c r="L59" s="2"/>
      <c r="M59" s="2"/>
      <c r="N59"/>
      <c r="O59" s="5">
        <v>6</v>
      </c>
      <c r="P59">
        <v>11</v>
      </c>
      <c r="Q59">
        <v>2025</v>
      </c>
      <c r="R59" s="1">
        <f t="shared" si="13"/>
        <v>45967</v>
      </c>
      <c r="T59">
        <v>4</v>
      </c>
      <c r="U59">
        <f t="shared" si="5"/>
        <v>4</v>
      </c>
      <c r="V59">
        <f t="shared" si="6"/>
        <v>4</v>
      </c>
      <c r="W59">
        <f t="shared" si="7"/>
        <v>4</v>
      </c>
      <c r="X59">
        <f t="shared" si="8"/>
        <v>4</v>
      </c>
      <c r="Z59" s="6">
        <f t="shared" si="9"/>
        <v>4</v>
      </c>
      <c r="AA59">
        <f t="shared" si="14"/>
        <v>275.10000000000002</v>
      </c>
      <c r="AB59" s="2">
        <f t="shared" si="10"/>
        <v>275.10000000000002</v>
      </c>
      <c r="AC59" s="2">
        <f t="shared" si="15"/>
        <v>1100.4000000000001</v>
      </c>
      <c r="AD59" t="str">
        <f t="shared" si="16"/>
        <v>Clothing</v>
      </c>
      <c r="AE59" t="str">
        <f t="shared" si="11"/>
        <v>Clothing</v>
      </c>
      <c r="AF59" t="str" cm="1">
        <f t="array" ref="AF59">IF(OR(F59=0,F59="0"),   _xlfn.XLOOKUP(E59, _xlfn._xlws.FILTER(E:E, (F:F&lt;&gt;"0")*(F:F&lt;&gt;0)), _xlfn._xlws.FILTER(F:F, (F:F&lt;&gt;"0")*(F:F&lt;&gt;0)), ""),F59)</f>
        <v>Clothing</v>
      </c>
    </row>
    <row r="60" spans="1:32" x14ac:dyDescent="0.3">
      <c r="A60">
        <v>158</v>
      </c>
      <c r="B60" t="s">
        <v>163</v>
      </c>
      <c r="C60" t="s">
        <v>164</v>
      </c>
      <c r="D60" s="1">
        <v>45752</v>
      </c>
      <c r="E60" t="s">
        <v>112</v>
      </c>
      <c r="F60" t="s">
        <v>20</v>
      </c>
      <c r="G60" s="6">
        <f t="shared" si="12"/>
        <v>1</v>
      </c>
      <c r="H60" s="2">
        <v>933.58</v>
      </c>
      <c r="I60" t="s">
        <v>15</v>
      </c>
      <c r="J60" t="s">
        <v>16</v>
      </c>
      <c r="K60" s="2">
        <v>933.58</v>
      </c>
      <c r="L60" s="2"/>
      <c r="M60" s="2"/>
      <c r="N60"/>
      <c r="O60" s="4">
        <v>5</v>
      </c>
      <c r="P60">
        <v>4</v>
      </c>
      <c r="Q60">
        <v>2025</v>
      </c>
      <c r="R60" s="1">
        <f t="shared" si="13"/>
        <v>45752</v>
      </c>
      <c r="T60">
        <v>1</v>
      </c>
      <c r="U60">
        <f t="shared" si="5"/>
        <v>1</v>
      </c>
      <c r="V60">
        <f t="shared" si="6"/>
        <v>1</v>
      </c>
      <c r="W60">
        <f t="shared" si="7"/>
        <v>1</v>
      </c>
      <c r="X60">
        <f t="shared" si="8"/>
        <v>1</v>
      </c>
      <c r="Z60" s="6">
        <f t="shared" si="9"/>
        <v>1</v>
      </c>
      <c r="AA60">
        <f t="shared" si="14"/>
        <v>933.58</v>
      </c>
      <c r="AB60" s="2">
        <f t="shared" si="10"/>
        <v>933.58</v>
      </c>
      <c r="AC60" s="2">
        <f t="shared" si="15"/>
        <v>933.58</v>
      </c>
      <c r="AD60" t="str">
        <f t="shared" si="16"/>
        <v>Electronics</v>
      </c>
      <c r="AE60" t="str">
        <f t="shared" si="11"/>
        <v>Electronics</v>
      </c>
      <c r="AF60" t="str" cm="1">
        <f t="array" ref="AF60">IF(OR(F60=0,F60="0"),   _xlfn.XLOOKUP(E60, _xlfn._xlws.FILTER(E:E, (F:F&lt;&gt;"0")*(F:F&lt;&gt;0)), _xlfn._xlws.FILTER(F:F, (F:F&lt;&gt;"0")*(F:F&lt;&gt;0)), ""),F60)</f>
        <v>Electronics</v>
      </c>
    </row>
    <row r="61" spans="1:32" x14ac:dyDescent="0.3">
      <c r="A61">
        <v>159</v>
      </c>
      <c r="B61" t="s">
        <v>165</v>
      </c>
      <c r="C61" t="s">
        <v>166</v>
      </c>
      <c r="D61" s="1">
        <v>45866</v>
      </c>
      <c r="E61" t="s">
        <v>69</v>
      </c>
      <c r="F61" t="s">
        <v>14</v>
      </c>
      <c r="G61" s="6">
        <f t="shared" si="12"/>
        <v>3</v>
      </c>
      <c r="H61" s="2">
        <v>163.16</v>
      </c>
      <c r="I61" t="s">
        <v>21</v>
      </c>
      <c r="J61" t="s">
        <v>16</v>
      </c>
      <c r="K61" s="2">
        <v>489.48</v>
      </c>
      <c r="L61" s="2"/>
      <c r="M61" s="2"/>
      <c r="N61"/>
      <c r="O61" s="5">
        <v>28</v>
      </c>
      <c r="P61">
        <v>7</v>
      </c>
      <c r="Q61">
        <v>2025</v>
      </c>
      <c r="R61" s="1">
        <f t="shared" si="13"/>
        <v>45866</v>
      </c>
      <c r="T61">
        <v>3</v>
      </c>
      <c r="U61">
        <f t="shared" si="5"/>
        <v>3</v>
      </c>
      <c r="V61">
        <f t="shared" si="6"/>
        <v>3</v>
      </c>
      <c r="W61">
        <f t="shared" si="7"/>
        <v>3</v>
      </c>
      <c r="X61">
        <f t="shared" si="8"/>
        <v>3</v>
      </c>
      <c r="Z61" s="6">
        <f t="shared" si="9"/>
        <v>3</v>
      </c>
      <c r="AA61">
        <f t="shared" si="14"/>
        <v>163.16</v>
      </c>
      <c r="AB61" s="2">
        <f t="shared" si="10"/>
        <v>163.16</v>
      </c>
      <c r="AC61" s="2">
        <f t="shared" si="15"/>
        <v>489.48</v>
      </c>
      <c r="AD61" t="str">
        <f t="shared" si="16"/>
        <v>Home</v>
      </c>
      <c r="AE61" t="str">
        <f t="shared" si="11"/>
        <v>Home</v>
      </c>
      <c r="AF61" t="str" cm="1">
        <f t="array" ref="AF61">IF(OR(F61=0,F61="0"),   _xlfn.XLOOKUP(E61, _xlfn._xlws.FILTER(E:E, (F:F&lt;&gt;"0")*(F:F&lt;&gt;0)), _xlfn._xlws.FILTER(F:F, (F:F&lt;&gt;"0")*(F:F&lt;&gt;0)), ""),F61)</f>
        <v>Home</v>
      </c>
    </row>
    <row r="62" spans="1:32" x14ac:dyDescent="0.3">
      <c r="A62">
        <v>160</v>
      </c>
      <c r="B62" t="s">
        <v>167</v>
      </c>
      <c r="C62" t="s">
        <v>168</v>
      </c>
      <c r="D62" s="1">
        <v>45660</v>
      </c>
      <c r="E62" t="s">
        <v>30</v>
      </c>
      <c r="F62" t="s">
        <v>31</v>
      </c>
      <c r="G62" s="6">
        <f t="shared" si="12"/>
        <v>5</v>
      </c>
      <c r="H62" s="2">
        <v>242.52</v>
      </c>
      <c r="I62" t="s">
        <v>15</v>
      </c>
      <c r="J62" t="s">
        <v>43</v>
      </c>
      <c r="K62" s="2">
        <v>1212.6000000000001</v>
      </c>
      <c r="L62" s="2"/>
      <c r="M62" s="2"/>
      <c r="N62"/>
      <c r="O62" s="4">
        <v>3</v>
      </c>
      <c r="P62">
        <v>1</v>
      </c>
      <c r="Q62">
        <v>2025</v>
      </c>
      <c r="R62" s="1">
        <f t="shared" si="13"/>
        <v>45660</v>
      </c>
      <c r="T62">
        <v>5</v>
      </c>
      <c r="U62">
        <f t="shared" si="5"/>
        <v>5</v>
      </c>
      <c r="V62">
        <f t="shared" si="6"/>
        <v>5</v>
      </c>
      <c r="W62">
        <f t="shared" si="7"/>
        <v>5</v>
      </c>
      <c r="X62">
        <f t="shared" si="8"/>
        <v>5</v>
      </c>
      <c r="Z62" s="6">
        <f t="shared" si="9"/>
        <v>5</v>
      </c>
      <c r="AA62">
        <f t="shared" si="14"/>
        <v>242.52</v>
      </c>
      <c r="AB62" s="2">
        <f t="shared" si="10"/>
        <v>242.52</v>
      </c>
      <c r="AC62" s="2">
        <f t="shared" si="15"/>
        <v>1212.6000000000001</v>
      </c>
      <c r="AD62" t="str">
        <f t="shared" si="16"/>
        <v>Books</v>
      </c>
      <c r="AE62" t="str">
        <f t="shared" si="11"/>
        <v>Books</v>
      </c>
      <c r="AF62" t="str" cm="1">
        <f t="array" ref="AF62">IF(OR(F62=0,F62="0"),   _xlfn.XLOOKUP(E62, _xlfn._xlws.FILTER(E:E, (F:F&lt;&gt;"0")*(F:F&lt;&gt;0)), _xlfn._xlws.FILTER(F:F, (F:F&lt;&gt;"0")*(F:F&lt;&gt;0)), ""),F62)</f>
        <v>Books</v>
      </c>
    </row>
    <row r="63" spans="1:32" x14ac:dyDescent="0.3">
      <c r="A63">
        <v>161</v>
      </c>
      <c r="B63" t="s">
        <v>169</v>
      </c>
      <c r="C63" t="s">
        <v>170</v>
      </c>
      <c r="D63" s="1">
        <v>45641</v>
      </c>
      <c r="E63" t="s">
        <v>30</v>
      </c>
      <c r="F63" t="s">
        <v>31</v>
      </c>
      <c r="G63" s="6">
        <f t="shared" si="12"/>
        <v>4</v>
      </c>
      <c r="H63" s="2">
        <v>209.32</v>
      </c>
      <c r="I63" t="s">
        <v>40</v>
      </c>
      <c r="J63" t="s">
        <v>16</v>
      </c>
      <c r="K63" s="2">
        <v>837.28</v>
      </c>
      <c r="L63" s="2"/>
      <c r="M63" s="2"/>
      <c r="N63"/>
      <c r="O63" s="5">
        <v>15</v>
      </c>
      <c r="P63">
        <v>12</v>
      </c>
      <c r="Q63">
        <v>2024</v>
      </c>
      <c r="R63" s="1">
        <f t="shared" si="13"/>
        <v>45641</v>
      </c>
      <c r="T63">
        <v>4</v>
      </c>
      <c r="U63">
        <f t="shared" si="5"/>
        <v>4</v>
      </c>
      <c r="V63">
        <f t="shared" si="6"/>
        <v>4</v>
      </c>
      <c r="W63">
        <f t="shared" si="7"/>
        <v>4</v>
      </c>
      <c r="X63">
        <f t="shared" si="8"/>
        <v>4</v>
      </c>
      <c r="Z63" s="6">
        <f t="shared" si="9"/>
        <v>4</v>
      </c>
      <c r="AA63">
        <f t="shared" si="14"/>
        <v>209.32</v>
      </c>
      <c r="AB63" s="2">
        <f t="shared" si="10"/>
        <v>209.32</v>
      </c>
      <c r="AC63" s="2">
        <f t="shared" si="15"/>
        <v>837.28</v>
      </c>
      <c r="AD63" t="str">
        <f t="shared" si="16"/>
        <v>Books</v>
      </c>
      <c r="AE63" t="str">
        <f t="shared" si="11"/>
        <v>Books</v>
      </c>
      <c r="AF63" t="str" cm="1">
        <f t="array" ref="AF63">IF(OR(F63=0,F63="0"),   _xlfn.XLOOKUP(E63, _xlfn._xlws.FILTER(E:E, (F:F&lt;&gt;"0")*(F:F&lt;&gt;0)), _xlfn._xlws.FILTER(F:F, (F:F&lt;&gt;"0")*(F:F&lt;&gt;0)), ""),F63)</f>
        <v>Books</v>
      </c>
    </row>
    <row r="64" spans="1:32" x14ac:dyDescent="0.3">
      <c r="A64">
        <v>162</v>
      </c>
      <c r="B64" t="s">
        <v>171</v>
      </c>
      <c r="C64" t="s">
        <v>172</v>
      </c>
      <c r="D64" s="1">
        <v>45796</v>
      </c>
      <c r="E64" t="s">
        <v>13</v>
      </c>
      <c r="F64" t="s">
        <v>14</v>
      </c>
      <c r="G64" s="6">
        <f t="shared" si="12"/>
        <v>2</v>
      </c>
      <c r="H64" s="2">
        <v>155.76</v>
      </c>
      <c r="I64" t="s">
        <v>48</v>
      </c>
      <c r="J64" t="s">
        <v>43</v>
      </c>
      <c r="K64" s="2">
        <v>311.52</v>
      </c>
      <c r="L64" s="2"/>
      <c r="M64" s="2"/>
      <c r="N64"/>
      <c r="O64" s="4">
        <v>19</v>
      </c>
      <c r="P64">
        <v>5</v>
      </c>
      <c r="Q64">
        <v>2025</v>
      </c>
      <c r="R64" s="1">
        <f t="shared" si="13"/>
        <v>45796</v>
      </c>
      <c r="T64">
        <v>2</v>
      </c>
      <c r="U64">
        <f t="shared" si="5"/>
        <v>2</v>
      </c>
      <c r="V64">
        <f t="shared" si="6"/>
        <v>2</v>
      </c>
      <c r="W64">
        <f t="shared" si="7"/>
        <v>2</v>
      </c>
      <c r="X64">
        <f t="shared" si="8"/>
        <v>2</v>
      </c>
      <c r="Z64" s="6">
        <f t="shared" si="9"/>
        <v>2</v>
      </c>
      <c r="AA64">
        <f t="shared" si="14"/>
        <v>155.76</v>
      </c>
      <c r="AB64" s="2">
        <f t="shared" si="10"/>
        <v>155.76</v>
      </c>
      <c r="AC64" s="2">
        <f t="shared" si="15"/>
        <v>311.52</v>
      </c>
      <c r="AD64" t="str">
        <f t="shared" si="16"/>
        <v>Home</v>
      </c>
      <c r="AE64" t="str">
        <f t="shared" si="11"/>
        <v>Home</v>
      </c>
      <c r="AF64" t="str" cm="1">
        <f t="array" ref="AF64">IF(OR(F64=0,F64="0"),   _xlfn.XLOOKUP(E64, _xlfn._xlws.FILTER(E:E, (F:F&lt;&gt;"0")*(F:F&lt;&gt;0)), _xlfn._xlws.FILTER(F:F, (F:F&lt;&gt;"0")*(F:F&lt;&gt;0)), ""),F64)</f>
        <v>Home</v>
      </c>
    </row>
    <row r="65" spans="1:32" x14ac:dyDescent="0.3">
      <c r="A65">
        <v>163</v>
      </c>
      <c r="B65" t="s">
        <v>173</v>
      </c>
      <c r="C65" t="s">
        <v>174</v>
      </c>
      <c r="D65" s="1">
        <v>44931</v>
      </c>
      <c r="E65" t="s">
        <v>112</v>
      </c>
      <c r="F65" t="s">
        <v>20</v>
      </c>
      <c r="G65" s="6">
        <f t="shared" si="12"/>
        <v>3</v>
      </c>
      <c r="H65" s="2">
        <v>235.26</v>
      </c>
      <c r="I65" t="s">
        <v>15</v>
      </c>
      <c r="J65" t="s">
        <v>16</v>
      </c>
      <c r="K65" s="2">
        <v>705.78</v>
      </c>
      <c r="L65" s="2"/>
      <c r="M65" s="2"/>
      <c r="N65"/>
      <c r="O65" s="5">
        <v>5</v>
      </c>
      <c r="P65">
        <v>1</v>
      </c>
      <c r="Q65">
        <v>2023</v>
      </c>
      <c r="R65" s="1">
        <f t="shared" si="13"/>
        <v>44931</v>
      </c>
      <c r="T65">
        <v>3</v>
      </c>
      <c r="U65">
        <f t="shared" si="5"/>
        <v>3</v>
      </c>
      <c r="V65">
        <f t="shared" si="6"/>
        <v>3</v>
      </c>
      <c r="W65">
        <f t="shared" si="7"/>
        <v>3</v>
      </c>
      <c r="X65">
        <f t="shared" si="8"/>
        <v>3</v>
      </c>
      <c r="Z65" s="6">
        <f t="shared" si="9"/>
        <v>3</v>
      </c>
      <c r="AA65">
        <f t="shared" si="14"/>
        <v>235.26</v>
      </c>
      <c r="AB65" s="2">
        <f t="shared" si="10"/>
        <v>235.26</v>
      </c>
      <c r="AC65" s="2">
        <f t="shared" si="15"/>
        <v>705.78</v>
      </c>
      <c r="AD65" t="str">
        <f t="shared" si="16"/>
        <v>Electronics</v>
      </c>
      <c r="AE65" t="str">
        <f t="shared" si="11"/>
        <v>Electronics</v>
      </c>
      <c r="AF65" t="str" cm="1">
        <f t="array" ref="AF65">IF(OR(F65=0,F65="0"),   _xlfn.XLOOKUP(E65, _xlfn._xlws.FILTER(E:E, (F:F&lt;&gt;"0")*(F:F&lt;&gt;0)), _xlfn._xlws.FILTER(F:F, (F:F&lt;&gt;"0")*(F:F&lt;&gt;0)), ""),F65)</f>
        <v>Electronics</v>
      </c>
    </row>
    <row r="66" spans="1:32" x14ac:dyDescent="0.3">
      <c r="A66">
        <v>164</v>
      </c>
      <c r="B66" t="s">
        <v>175</v>
      </c>
      <c r="C66" t="s">
        <v>176</v>
      </c>
      <c r="D66" s="1">
        <v>45697</v>
      </c>
      <c r="E66" t="s">
        <v>25</v>
      </c>
      <c r="F66" t="s">
        <v>26</v>
      </c>
      <c r="G66" s="6">
        <f t="shared" ref="G66:G101" si="17">IF(OR(W66="",W66=0),AVERAGEIF(W:W,"&gt;0"),W66)</f>
        <v>3.0744680851063828</v>
      </c>
      <c r="H66" s="2">
        <v>587.64</v>
      </c>
      <c r="I66" t="s">
        <v>48</v>
      </c>
      <c r="J66" t="s">
        <v>43</v>
      </c>
      <c r="K66" s="2">
        <v>1806.6804255319148</v>
      </c>
      <c r="L66" s="2"/>
      <c r="M66" s="2"/>
      <c r="N66"/>
      <c r="O66" s="4">
        <v>9</v>
      </c>
      <c r="P66">
        <v>2</v>
      </c>
      <c r="Q66">
        <v>2025</v>
      </c>
      <c r="R66" s="1">
        <f t="shared" ref="R66:R97" si="18">IFERROR(DATE(Q66,P66,DAY(O66)),DATEVALUE(O66))</f>
        <v>45697</v>
      </c>
      <c r="U66">
        <f>IFERROR(VALUE(T66),"")</f>
        <v>0</v>
      </c>
      <c r="V66">
        <f t="shared" si="6"/>
        <v>0</v>
      </c>
      <c r="W66">
        <f t="shared" si="7"/>
        <v>0</v>
      </c>
      <c r="X66" t="str">
        <f t="shared" si="8"/>
        <v/>
      </c>
      <c r="Z66" s="6">
        <f t="shared" si="9"/>
        <v>3.0744680851063828</v>
      </c>
      <c r="AA66">
        <f t="shared" ref="AA66:AA101" si="19">IFERROR(IF(VALUE(SUBSTITUTE(SUBSTITUTE(SUBSTITUTE(SUBSTITUTE(H66,"₹",""),"$",""),",","")," ",""))&lt;0,"",VALUE(SUBSTITUTE(SUBSTITUTE(SUBSTITUTE(SUBSTITUTE(H66,"₹",""),"$",""),",","")," ",""))),"")</f>
        <v>587.64</v>
      </c>
      <c r="AB66" s="2">
        <f t="shared" si="10"/>
        <v>587.64</v>
      </c>
      <c r="AC66" s="2">
        <f t="shared" ref="AC66:AC101" si="20">G66*H66</f>
        <v>1806.6804255319148</v>
      </c>
      <c r="AD66" t="str">
        <f t="shared" ref="AD66:AD101" si="21">IF(F66&lt;&gt;"", F66, _xlfn.XLOOKUP(E66, E:E, F:F, ""))</f>
        <v>Sports</v>
      </c>
      <c r="AE66" t="str">
        <f t="shared" si="11"/>
        <v>Sports</v>
      </c>
      <c r="AF66" t="str" cm="1">
        <f t="array" ref="AF66">IF(OR(F66=0,F66="0"),   _xlfn.XLOOKUP(E66, _xlfn._xlws.FILTER(E:E, (F:F&lt;&gt;"0")*(F:F&lt;&gt;0)), _xlfn._xlws.FILTER(F:F, (F:F&lt;&gt;"0")*(F:F&lt;&gt;0)), ""),F66)</f>
        <v>Sports</v>
      </c>
    </row>
    <row r="67" spans="1:32" x14ac:dyDescent="0.3">
      <c r="A67">
        <v>165</v>
      </c>
      <c r="B67" t="s">
        <v>177</v>
      </c>
      <c r="C67" t="s">
        <v>178</v>
      </c>
      <c r="D67" s="1">
        <v>45604</v>
      </c>
      <c r="E67" t="s">
        <v>57</v>
      </c>
      <c r="F67" t="s">
        <v>58</v>
      </c>
      <c r="G67" s="6">
        <f t="shared" si="17"/>
        <v>2</v>
      </c>
      <c r="H67" s="2">
        <v>443.13</v>
      </c>
      <c r="I67" t="s">
        <v>48</v>
      </c>
      <c r="J67" t="s">
        <v>27</v>
      </c>
      <c r="K67" s="2">
        <v>886.26</v>
      </c>
      <c r="L67" s="2"/>
      <c r="M67" s="2"/>
      <c r="N67"/>
      <c r="O67" s="5">
        <v>8</v>
      </c>
      <c r="P67">
        <v>11</v>
      </c>
      <c r="Q67">
        <v>2024</v>
      </c>
      <c r="R67" s="1">
        <f t="shared" si="18"/>
        <v>45604</v>
      </c>
      <c r="T67">
        <v>2</v>
      </c>
      <c r="U67">
        <f t="shared" si="5"/>
        <v>2</v>
      </c>
      <c r="V67">
        <f t="shared" ref="V67:V101" si="22">IF(U67&lt;0,ABS(U67),U67)</f>
        <v>2</v>
      </c>
      <c r="W67">
        <f t="shared" ref="W67:W101" si="23">IF(V67="","",V67)</f>
        <v>2</v>
      </c>
      <c r="X67">
        <f t="shared" ref="X67:X101" si="24">IF(OR(W67="",W67=0),"",W67)</f>
        <v>2</v>
      </c>
      <c r="Z67" s="6">
        <f t="shared" ref="Z67:Z101" si="25">IF(OR(W67="",W67=0),AVERAGEIF(W:W,"&gt;0"),W67)</f>
        <v>2</v>
      </c>
      <c r="AA67">
        <f t="shared" si="19"/>
        <v>443.13</v>
      </c>
      <c r="AB67" s="2">
        <f t="shared" ref="AB67:AB101" si="26">IF(AA67="",AVERAGE(AA:AA),AA67)</f>
        <v>443.13</v>
      </c>
      <c r="AC67" s="2">
        <f t="shared" si="20"/>
        <v>886.26</v>
      </c>
      <c r="AD67" t="str">
        <f t="shared" si="21"/>
        <v>Clothing</v>
      </c>
      <c r="AE67" t="str">
        <f t="shared" ref="AE67:AE101" si="27">PROPER(TRIM(F67))</f>
        <v>Clothing</v>
      </c>
      <c r="AF67" t="str" cm="1">
        <f t="array" ref="AF67">IF(OR(F67=0,F67="0"),   _xlfn.XLOOKUP(E67, _xlfn._xlws.FILTER(E:E, (F:F&lt;&gt;"0")*(F:F&lt;&gt;0)), _xlfn._xlws.FILTER(F:F, (F:F&lt;&gt;"0")*(F:F&lt;&gt;0)), ""),F67)</f>
        <v>Clothing</v>
      </c>
    </row>
    <row r="68" spans="1:32" x14ac:dyDescent="0.3">
      <c r="A68">
        <v>166</v>
      </c>
      <c r="B68" t="s">
        <v>179</v>
      </c>
      <c r="C68" t="s">
        <v>180</v>
      </c>
      <c r="D68" s="1">
        <v>45841</v>
      </c>
      <c r="E68" t="s">
        <v>109</v>
      </c>
      <c r="F68" t="s">
        <v>20</v>
      </c>
      <c r="G68" s="6">
        <f t="shared" si="17"/>
        <v>2</v>
      </c>
      <c r="H68" s="2">
        <v>569.38</v>
      </c>
      <c r="I68" t="s">
        <v>15</v>
      </c>
      <c r="J68" t="s">
        <v>16</v>
      </c>
      <c r="K68" s="2">
        <v>1138.76</v>
      </c>
      <c r="L68" s="2"/>
      <c r="M68" s="2"/>
      <c r="N68"/>
      <c r="O68" s="4">
        <v>3</v>
      </c>
      <c r="P68">
        <v>7</v>
      </c>
      <c r="Q68">
        <v>2025</v>
      </c>
      <c r="R68" s="1">
        <f t="shared" si="18"/>
        <v>45841</v>
      </c>
      <c r="T68">
        <v>2</v>
      </c>
      <c r="U68">
        <f t="shared" ref="U68:U74" si="28">IFERROR(VALUE(T68),"")</f>
        <v>2</v>
      </c>
      <c r="V68">
        <f t="shared" si="22"/>
        <v>2</v>
      </c>
      <c r="W68">
        <f t="shared" si="23"/>
        <v>2</v>
      </c>
      <c r="X68">
        <f t="shared" si="24"/>
        <v>2</v>
      </c>
      <c r="Z68" s="6">
        <f t="shared" si="25"/>
        <v>2</v>
      </c>
      <c r="AA68">
        <f t="shared" si="19"/>
        <v>569.38</v>
      </c>
      <c r="AB68" s="2">
        <f t="shared" si="26"/>
        <v>569.38</v>
      </c>
      <c r="AC68" s="2">
        <f t="shared" si="20"/>
        <v>1138.76</v>
      </c>
      <c r="AD68" t="str">
        <f t="shared" si="21"/>
        <v>Electronics</v>
      </c>
      <c r="AE68" t="str">
        <f t="shared" si="27"/>
        <v>Electronics</v>
      </c>
      <c r="AF68" t="str" cm="1">
        <f t="array" ref="AF68">IF(OR(F68=0,F68="0"),   _xlfn.XLOOKUP(E68, _xlfn._xlws.FILTER(E:E, (F:F&lt;&gt;"0")*(F:F&lt;&gt;0)), _xlfn._xlws.FILTER(F:F, (F:F&lt;&gt;"0")*(F:F&lt;&gt;0)), ""),F68)</f>
        <v>Electronics</v>
      </c>
    </row>
    <row r="69" spans="1:32" x14ac:dyDescent="0.3">
      <c r="A69">
        <v>167</v>
      </c>
      <c r="B69" t="s">
        <v>181</v>
      </c>
      <c r="C69" t="s">
        <v>182</v>
      </c>
      <c r="D69" s="1">
        <v>45876</v>
      </c>
      <c r="E69" t="s">
        <v>51</v>
      </c>
      <c r="F69" t="s">
        <v>26</v>
      </c>
      <c r="G69" s="6">
        <f t="shared" si="17"/>
        <v>3.0744680851063828</v>
      </c>
      <c r="H69" s="2">
        <v>593.92999999999995</v>
      </c>
      <c r="I69" t="s">
        <v>15</v>
      </c>
      <c r="J69" t="s">
        <v>22</v>
      </c>
      <c r="K69" s="2">
        <v>1826.0188297872337</v>
      </c>
      <c r="L69" s="2"/>
      <c r="M69" s="2"/>
      <c r="N69"/>
      <c r="O69" s="5">
        <v>7</v>
      </c>
      <c r="P69">
        <v>8</v>
      </c>
      <c r="Q69">
        <v>2025</v>
      </c>
      <c r="R69" s="1">
        <f t="shared" si="18"/>
        <v>45876</v>
      </c>
      <c r="U69">
        <f t="shared" si="28"/>
        <v>0</v>
      </c>
      <c r="V69">
        <f t="shared" si="22"/>
        <v>0</v>
      </c>
      <c r="W69">
        <f t="shared" si="23"/>
        <v>0</v>
      </c>
      <c r="X69" t="str">
        <f t="shared" si="24"/>
        <v/>
      </c>
      <c r="Z69" s="6">
        <f t="shared" si="25"/>
        <v>3.0744680851063828</v>
      </c>
      <c r="AA69">
        <f t="shared" si="19"/>
        <v>593.92999999999995</v>
      </c>
      <c r="AB69" s="2">
        <f t="shared" si="26"/>
        <v>593.92999999999995</v>
      </c>
      <c r="AC69" s="2">
        <f t="shared" si="20"/>
        <v>1826.0188297872337</v>
      </c>
      <c r="AD69" t="str">
        <f t="shared" si="21"/>
        <v>Sports</v>
      </c>
      <c r="AE69" t="str">
        <f t="shared" si="27"/>
        <v>Sports</v>
      </c>
      <c r="AF69" t="str" cm="1">
        <f t="array" ref="AF69">IF(OR(F69=0,F69="0"),   _xlfn.XLOOKUP(E69, _xlfn._xlws.FILTER(E:E, (F:F&lt;&gt;"0")*(F:F&lt;&gt;0)), _xlfn._xlws.FILTER(F:F, (F:F&lt;&gt;"0")*(F:F&lt;&gt;0)), ""),F69)</f>
        <v>Sports</v>
      </c>
    </row>
    <row r="70" spans="1:32" x14ac:dyDescent="0.3">
      <c r="A70">
        <v>168</v>
      </c>
      <c r="B70" t="s">
        <v>183</v>
      </c>
      <c r="C70" t="s">
        <v>184</v>
      </c>
      <c r="D70" s="1">
        <v>45965</v>
      </c>
      <c r="E70" t="s">
        <v>34</v>
      </c>
      <c r="F70" t="s">
        <v>31</v>
      </c>
      <c r="G70" s="6">
        <f t="shared" si="17"/>
        <v>2</v>
      </c>
      <c r="H70" s="2">
        <v>141.49</v>
      </c>
      <c r="I70" t="s">
        <v>21</v>
      </c>
      <c r="J70" t="s">
        <v>37</v>
      </c>
      <c r="K70" s="2">
        <v>282.98</v>
      </c>
      <c r="L70" s="2"/>
      <c r="M70" s="2"/>
      <c r="N70"/>
      <c r="O70" s="4">
        <v>4</v>
      </c>
      <c r="P70">
        <v>11</v>
      </c>
      <c r="Q70">
        <v>2025</v>
      </c>
      <c r="R70" s="1">
        <f t="shared" si="18"/>
        <v>45965</v>
      </c>
      <c r="T70">
        <v>2</v>
      </c>
      <c r="U70">
        <f t="shared" si="28"/>
        <v>2</v>
      </c>
      <c r="V70">
        <f t="shared" si="22"/>
        <v>2</v>
      </c>
      <c r="W70">
        <f t="shared" si="23"/>
        <v>2</v>
      </c>
      <c r="X70">
        <f t="shared" si="24"/>
        <v>2</v>
      </c>
      <c r="Z70" s="6">
        <f t="shared" si="25"/>
        <v>2</v>
      </c>
      <c r="AA70">
        <f t="shared" si="19"/>
        <v>141.49</v>
      </c>
      <c r="AB70" s="2">
        <f t="shared" si="26"/>
        <v>141.49</v>
      </c>
      <c r="AC70" s="2">
        <f t="shared" si="20"/>
        <v>282.98</v>
      </c>
      <c r="AD70" t="str">
        <f t="shared" si="21"/>
        <v>Books</v>
      </c>
      <c r="AE70" t="str">
        <f t="shared" si="27"/>
        <v>Books</v>
      </c>
      <c r="AF70" t="str" cm="1">
        <f t="array" ref="AF70">IF(OR(F70=0,F70="0"),   _xlfn.XLOOKUP(E70, _xlfn._xlws.FILTER(E:E, (F:F&lt;&gt;"0")*(F:F&lt;&gt;0)), _xlfn._xlws.FILTER(F:F, (F:F&lt;&gt;"0")*(F:F&lt;&gt;0)), ""),F70)</f>
        <v>Books</v>
      </c>
    </row>
    <row r="71" spans="1:32" x14ac:dyDescent="0.3">
      <c r="A71">
        <v>169</v>
      </c>
      <c r="B71" t="s">
        <v>185</v>
      </c>
      <c r="C71" t="s">
        <v>186</v>
      </c>
      <c r="D71" s="1">
        <v>45881</v>
      </c>
      <c r="E71" t="s">
        <v>51</v>
      </c>
      <c r="F71" t="s">
        <v>26</v>
      </c>
      <c r="G71" s="6">
        <f t="shared" si="17"/>
        <v>1</v>
      </c>
      <c r="H71" s="2">
        <v>582.13</v>
      </c>
      <c r="I71" t="s">
        <v>48</v>
      </c>
      <c r="J71" t="s">
        <v>43</v>
      </c>
      <c r="K71" s="2">
        <v>582.13</v>
      </c>
      <c r="L71" s="2"/>
      <c r="M71" s="2"/>
      <c r="N71"/>
      <c r="O71" s="5">
        <v>12</v>
      </c>
      <c r="P71">
        <v>8</v>
      </c>
      <c r="Q71">
        <v>2025</v>
      </c>
      <c r="R71" s="1">
        <f t="shared" si="18"/>
        <v>45881</v>
      </c>
      <c r="T71">
        <v>1</v>
      </c>
      <c r="U71">
        <f t="shared" si="28"/>
        <v>1</v>
      </c>
      <c r="V71">
        <f t="shared" si="22"/>
        <v>1</v>
      </c>
      <c r="W71">
        <f t="shared" si="23"/>
        <v>1</v>
      </c>
      <c r="X71">
        <f t="shared" si="24"/>
        <v>1</v>
      </c>
      <c r="Z71" s="6">
        <f t="shared" si="25"/>
        <v>1</v>
      </c>
      <c r="AA71">
        <f t="shared" si="19"/>
        <v>582.13</v>
      </c>
      <c r="AB71" s="2">
        <f t="shared" si="26"/>
        <v>582.13</v>
      </c>
      <c r="AC71" s="2">
        <f t="shared" si="20"/>
        <v>582.13</v>
      </c>
      <c r="AD71" t="str">
        <f t="shared" si="21"/>
        <v>Sports</v>
      </c>
      <c r="AE71" t="str">
        <f t="shared" si="27"/>
        <v>Sports</v>
      </c>
      <c r="AF71" t="str" cm="1">
        <f t="array" ref="AF71">IF(OR(F71=0,F71="0"),   _xlfn.XLOOKUP(E71, _xlfn._xlws.FILTER(E:E, (F:F&lt;&gt;"0")*(F:F&lt;&gt;0)), _xlfn._xlws.FILTER(F:F, (F:F&lt;&gt;"0")*(F:F&lt;&gt;0)), ""),F71)</f>
        <v>Sports</v>
      </c>
    </row>
    <row r="72" spans="1:32" x14ac:dyDescent="0.3">
      <c r="A72">
        <v>170</v>
      </c>
      <c r="B72" t="s">
        <v>187</v>
      </c>
      <c r="C72" t="s">
        <v>188</v>
      </c>
      <c r="D72" s="1">
        <v>45933</v>
      </c>
      <c r="E72" t="s">
        <v>160</v>
      </c>
      <c r="F72" t="s">
        <v>58</v>
      </c>
      <c r="G72" s="6">
        <f t="shared" si="17"/>
        <v>5</v>
      </c>
      <c r="H72" s="2">
        <v>741.63</v>
      </c>
      <c r="I72" t="s">
        <v>40</v>
      </c>
      <c r="J72" t="s">
        <v>22</v>
      </c>
      <c r="K72" s="2">
        <v>3708.15</v>
      </c>
      <c r="L72" s="2"/>
      <c r="M72" s="2"/>
      <c r="N72"/>
      <c r="O72" s="4">
        <v>3</v>
      </c>
      <c r="P72">
        <v>10</v>
      </c>
      <c r="Q72">
        <v>2025</v>
      </c>
      <c r="R72" s="1">
        <f t="shared" si="18"/>
        <v>45933</v>
      </c>
      <c r="T72">
        <v>5</v>
      </c>
      <c r="U72">
        <f>IFERROR(VALUE(T72),"")</f>
        <v>5</v>
      </c>
      <c r="V72">
        <f t="shared" si="22"/>
        <v>5</v>
      </c>
      <c r="W72">
        <f t="shared" si="23"/>
        <v>5</v>
      </c>
      <c r="X72">
        <f t="shared" si="24"/>
        <v>5</v>
      </c>
      <c r="Z72" s="6">
        <f t="shared" si="25"/>
        <v>5</v>
      </c>
      <c r="AA72">
        <f t="shared" si="19"/>
        <v>741.63</v>
      </c>
      <c r="AB72" s="2">
        <f t="shared" si="26"/>
        <v>741.63</v>
      </c>
      <c r="AC72" s="2">
        <f t="shared" si="20"/>
        <v>3708.15</v>
      </c>
      <c r="AD72" t="str">
        <f t="shared" si="21"/>
        <v>Clothing</v>
      </c>
      <c r="AE72" t="str">
        <f t="shared" si="27"/>
        <v>Clothing</v>
      </c>
      <c r="AF72" t="str" cm="1">
        <f t="array" ref="AF72">IF(OR(F72=0,F72="0"),   _xlfn.XLOOKUP(E72, _xlfn._xlws.FILTER(E:E, (F:F&lt;&gt;"0")*(F:F&lt;&gt;0)), _xlfn._xlws.FILTER(F:F, (F:F&lt;&gt;"0")*(F:F&lt;&gt;0)), ""),F72)</f>
        <v>Clothing</v>
      </c>
    </row>
    <row r="73" spans="1:32" x14ac:dyDescent="0.3">
      <c r="A73">
        <v>171</v>
      </c>
      <c r="B73" t="s">
        <v>189</v>
      </c>
      <c r="C73" t="s">
        <v>190</v>
      </c>
      <c r="D73" s="1">
        <v>45632</v>
      </c>
      <c r="E73" t="s">
        <v>57</v>
      </c>
      <c r="F73" t="s">
        <v>58</v>
      </c>
      <c r="G73" s="6">
        <f t="shared" si="17"/>
        <v>3</v>
      </c>
      <c r="H73" s="2">
        <v>688.68</v>
      </c>
      <c r="I73" t="s">
        <v>21</v>
      </c>
      <c r="J73" t="s">
        <v>22</v>
      </c>
      <c r="K73" s="2">
        <v>2066.04</v>
      </c>
      <c r="L73" s="2"/>
      <c r="M73" s="2"/>
      <c r="N73"/>
      <c r="O73" s="5">
        <v>6</v>
      </c>
      <c r="P73">
        <v>12</v>
      </c>
      <c r="Q73">
        <v>2024</v>
      </c>
      <c r="R73" s="1">
        <f t="shared" si="18"/>
        <v>45632</v>
      </c>
      <c r="T73">
        <v>3</v>
      </c>
      <c r="U73">
        <f t="shared" si="28"/>
        <v>3</v>
      </c>
      <c r="V73">
        <f t="shared" si="22"/>
        <v>3</v>
      </c>
      <c r="W73">
        <f t="shared" si="23"/>
        <v>3</v>
      </c>
      <c r="X73">
        <f t="shared" si="24"/>
        <v>3</v>
      </c>
      <c r="Z73" s="6">
        <f t="shared" si="25"/>
        <v>3</v>
      </c>
      <c r="AA73">
        <f t="shared" si="19"/>
        <v>688.68</v>
      </c>
      <c r="AB73" s="2">
        <f t="shared" si="26"/>
        <v>688.68</v>
      </c>
      <c r="AC73" s="2">
        <f t="shared" si="20"/>
        <v>2066.04</v>
      </c>
      <c r="AD73" t="str">
        <f t="shared" si="21"/>
        <v>Clothing</v>
      </c>
      <c r="AE73" t="str">
        <f t="shared" si="27"/>
        <v>Clothing</v>
      </c>
      <c r="AF73" t="str" cm="1">
        <f t="array" ref="AF73">IF(OR(F73=0,F73="0"),   _xlfn.XLOOKUP(E73, _xlfn._xlws.FILTER(E:E, (F:F&lt;&gt;"0")*(F:F&lt;&gt;0)), _xlfn._xlws.FILTER(F:F, (F:F&lt;&gt;"0")*(F:F&lt;&gt;0)), ""),F73)</f>
        <v>Clothing</v>
      </c>
    </row>
    <row r="74" spans="1:32" x14ac:dyDescent="0.3">
      <c r="A74">
        <v>172</v>
      </c>
      <c r="B74" t="s">
        <v>191</v>
      </c>
      <c r="C74" t="s">
        <v>192</v>
      </c>
      <c r="D74" s="1">
        <v>45614</v>
      </c>
      <c r="E74" t="s">
        <v>54</v>
      </c>
      <c r="F74" t="s">
        <v>31</v>
      </c>
      <c r="G74" s="6">
        <f t="shared" si="17"/>
        <v>2</v>
      </c>
      <c r="H74" s="2">
        <v>942.76</v>
      </c>
      <c r="I74" t="s">
        <v>40</v>
      </c>
      <c r="J74" t="s">
        <v>43</v>
      </c>
      <c r="K74" s="2">
        <v>1885.52</v>
      </c>
      <c r="L74" s="2"/>
      <c r="M74" s="2"/>
      <c r="N74"/>
      <c r="O74" s="4">
        <v>18</v>
      </c>
      <c r="P74">
        <v>11</v>
      </c>
      <c r="Q74">
        <v>2024</v>
      </c>
      <c r="R74" s="1">
        <f t="shared" si="18"/>
        <v>45614</v>
      </c>
      <c r="T74">
        <v>2</v>
      </c>
      <c r="U74">
        <f t="shared" si="28"/>
        <v>2</v>
      </c>
      <c r="V74">
        <f t="shared" si="22"/>
        <v>2</v>
      </c>
      <c r="W74">
        <f t="shared" si="23"/>
        <v>2</v>
      </c>
      <c r="X74">
        <f t="shared" si="24"/>
        <v>2</v>
      </c>
      <c r="Z74" s="6">
        <f t="shared" si="25"/>
        <v>2</v>
      </c>
      <c r="AA74">
        <f t="shared" si="19"/>
        <v>942.76</v>
      </c>
      <c r="AB74" s="2">
        <f t="shared" si="26"/>
        <v>942.76</v>
      </c>
      <c r="AC74" s="2">
        <f t="shared" si="20"/>
        <v>1885.52</v>
      </c>
      <c r="AD74" t="str">
        <f t="shared" si="21"/>
        <v>Books</v>
      </c>
      <c r="AE74" t="str">
        <f t="shared" si="27"/>
        <v>Books</v>
      </c>
      <c r="AF74" t="str" cm="1">
        <f t="array" ref="AF74">IF(OR(F74=0,F74="0"),   _xlfn.XLOOKUP(E74, _xlfn._xlws.FILTER(E:E, (F:F&lt;&gt;"0")*(F:F&lt;&gt;0)), _xlfn._xlws.FILTER(F:F, (F:F&lt;&gt;"0")*(F:F&lt;&gt;0)), ""),F74)</f>
        <v>Books</v>
      </c>
    </row>
    <row r="75" spans="1:32" x14ac:dyDescent="0.3">
      <c r="A75">
        <v>173</v>
      </c>
      <c r="B75" t="s">
        <v>193</v>
      </c>
      <c r="C75" t="s">
        <v>194</v>
      </c>
      <c r="D75" s="1">
        <v>45941</v>
      </c>
      <c r="E75" t="s">
        <v>96</v>
      </c>
      <c r="F75" t="s">
        <v>14</v>
      </c>
      <c r="G75" s="6">
        <f t="shared" si="17"/>
        <v>5</v>
      </c>
      <c r="H75" s="2">
        <v>351.89</v>
      </c>
      <c r="I75" t="s">
        <v>48</v>
      </c>
      <c r="J75" t="s">
        <v>16</v>
      </c>
      <c r="K75" s="2">
        <v>1759.4499999999998</v>
      </c>
      <c r="L75" s="2"/>
      <c r="M75" s="2"/>
      <c r="N75"/>
      <c r="O75" s="5">
        <v>11</v>
      </c>
      <c r="P75">
        <v>10</v>
      </c>
      <c r="Q75">
        <v>2025</v>
      </c>
      <c r="R75" s="1">
        <f t="shared" si="18"/>
        <v>45941</v>
      </c>
      <c r="T75">
        <v>5</v>
      </c>
      <c r="U75">
        <f>IFERROR(VALUE(T75),"")</f>
        <v>5</v>
      </c>
      <c r="V75">
        <f t="shared" si="22"/>
        <v>5</v>
      </c>
      <c r="W75">
        <f t="shared" si="23"/>
        <v>5</v>
      </c>
      <c r="X75">
        <f t="shared" si="24"/>
        <v>5</v>
      </c>
      <c r="Z75" s="6">
        <f t="shared" si="25"/>
        <v>5</v>
      </c>
      <c r="AA75">
        <f t="shared" si="19"/>
        <v>351.89</v>
      </c>
      <c r="AB75" s="2">
        <f t="shared" si="26"/>
        <v>351.89</v>
      </c>
      <c r="AC75" s="2">
        <f t="shared" si="20"/>
        <v>1759.4499999999998</v>
      </c>
      <c r="AD75" t="str">
        <f t="shared" si="21"/>
        <v>Home</v>
      </c>
      <c r="AE75" t="str">
        <f t="shared" si="27"/>
        <v>Home</v>
      </c>
      <c r="AF75" t="str" cm="1">
        <f t="array" ref="AF75">IF(OR(F75=0,F75="0"),   _xlfn.XLOOKUP(E75, _xlfn._xlws.FILTER(E:E, (F:F&lt;&gt;"0")*(F:F&lt;&gt;0)), _xlfn._xlws.FILTER(F:F, (F:F&lt;&gt;"0")*(F:F&lt;&gt;0)), ""),F75)</f>
        <v>Home</v>
      </c>
    </row>
    <row r="76" spans="1:32" x14ac:dyDescent="0.3">
      <c r="A76">
        <v>174</v>
      </c>
      <c r="B76" t="s">
        <v>195</v>
      </c>
      <c r="C76" t="s">
        <v>196</v>
      </c>
      <c r="D76" s="1">
        <v>45920</v>
      </c>
      <c r="E76" t="s">
        <v>69</v>
      </c>
      <c r="F76" t="s">
        <v>20</v>
      </c>
      <c r="G76" s="6">
        <f t="shared" si="17"/>
        <v>4</v>
      </c>
      <c r="H76" s="2">
        <v>187.48</v>
      </c>
      <c r="I76" t="s">
        <v>48</v>
      </c>
      <c r="J76" t="s">
        <v>43</v>
      </c>
      <c r="K76" s="2">
        <v>749.92</v>
      </c>
      <c r="L76" s="2"/>
      <c r="M76" s="2"/>
      <c r="N76"/>
      <c r="O76" s="4">
        <v>20</v>
      </c>
      <c r="P76">
        <v>9</v>
      </c>
      <c r="Q76">
        <v>2025</v>
      </c>
      <c r="R76" s="1">
        <f t="shared" si="18"/>
        <v>45920</v>
      </c>
      <c r="T76">
        <v>4</v>
      </c>
      <c r="U76">
        <f t="shared" ref="U76:U94" si="29">IFERROR(VALUE(T76),"")</f>
        <v>4</v>
      </c>
      <c r="V76">
        <f t="shared" si="22"/>
        <v>4</v>
      </c>
      <c r="W76">
        <f t="shared" si="23"/>
        <v>4</v>
      </c>
      <c r="X76">
        <f t="shared" si="24"/>
        <v>4</v>
      </c>
      <c r="Z76" s="6">
        <f t="shared" si="25"/>
        <v>4</v>
      </c>
      <c r="AA76">
        <f t="shared" si="19"/>
        <v>187.48</v>
      </c>
      <c r="AB76" s="2">
        <f t="shared" si="26"/>
        <v>187.48</v>
      </c>
      <c r="AC76" s="2">
        <f t="shared" si="20"/>
        <v>749.92</v>
      </c>
      <c r="AD76" t="str">
        <f t="shared" si="21"/>
        <v>Electronics</v>
      </c>
      <c r="AE76" t="str">
        <f t="shared" si="27"/>
        <v>Electronics</v>
      </c>
      <c r="AF76" t="str" cm="1">
        <f t="array" ref="AF76">IF(OR(F76=0,F76="0"),   _xlfn.XLOOKUP(E76, _xlfn._xlws.FILTER(E:E, (F:F&lt;&gt;"0")*(F:F&lt;&gt;0)), _xlfn._xlws.FILTER(F:F, (F:F&lt;&gt;"0")*(F:F&lt;&gt;0)), ""),F76)</f>
        <v>Electronics</v>
      </c>
    </row>
    <row r="77" spans="1:32" x14ac:dyDescent="0.3">
      <c r="A77">
        <v>175</v>
      </c>
      <c r="B77" t="s">
        <v>197</v>
      </c>
      <c r="C77" t="s">
        <v>198</v>
      </c>
      <c r="D77" s="1">
        <v>45712</v>
      </c>
      <c r="E77" t="s">
        <v>115</v>
      </c>
      <c r="F77" t="s">
        <v>20</v>
      </c>
      <c r="G77" s="6">
        <f t="shared" si="17"/>
        <v>1</v>
      </c>
      <c r="H77" s="2">
        <v>111.36</v>
      </c>
      <c r="I77" t="s">
        <v>48</v>
      </c>
      <c r="J77" t="s">
        <v>22</v>
      </c>
      <c r="K77" s="2">
        <v>111.36</v>
      </c>
      <c r="L77" s="2"/>
      <c r="M77" s="2"/>
      <c r="N77"/>
      <c r="O77" s="5">
        <v>24</v>
      </c>
      <c r="P77">
        <v>2</v>
      </c>
      <c r="Q77">
        <v>2025</v>
      </c>
      <c r="R77" s="1">
        <f t="shared" si="18"/>
        <v>45712</v>
      </c>
      <c r="T77">
        <v>1</v>
      </c>
      <c r="U77">
        <f t="shared" si="29"/>
        <v>1</v>
      </c>
      <c r="V77">
        <f t="shared" si="22"/>
        <v>1</v>
      </c>
      <c r="W77">
        <f t="shared" si="23"/>
        <v>1</v>
      </c>
      <c r="X77">
        <f t="shared" si="24"/>
        <v>1</v>
      </c>
      <c r="Z77" s="6">
        <f t="shared" si="25"/>
        <v>1</v>
      </c>
      <c r="AA77">
        <f t="shared" si="19"/>
        <v>111.36</v>
      </c>
      <c r="AB77" s="2">
        <f t="shared" si="26"/>
        <v>111.36</v>
      </c>
      <c r="AC77" s="2">
        <f t="shared" si="20"/>
        <v>111.36</v>
      </c>
      <c r="AD77" t="str">
        <f t="shared" si="21"/>
        <v>Electronics</v>
      </c>
      <c r="AE77" t="str">
        <f t="shared" si="27"/>
        <v>Electronics</v>
      </c>
      <c r="AF77" t="str" cm="1">
        <f t="array" ref="AF77">IF(OR(F77=0,F77="0"),   _xlfn.XLOOKUP(E77, _xlfn._xlws.FILTER(E:E, (F:F&lt;&gt;"0")*(F:F&lt;&gt;0)), _xlfn._xlws.FILTER(F:F, (F:F&lt;&gt;"0")*(F:F&lt;&gt;0)), ""),F77)</f>
        <v>Electronics</v>
      </c>
    </row>
    <row r="78" spans="1:32" x14ac:dyDescent="0.3">
      <c r="A78">
        <v>176</v>
      </c>
      <c r="B78" t="s">
        <v>199</v>
      </c>
      <c r="C78" t="s">
        <v>200</v>
      </c>
      <c r="D78" s="1">
        <v>45860</v>
      </c>
      <c r="E78" t="s">
        <v>54</v>
      </c>
      <c r="F78" t="s">
        <v>31</v>
      </c>
      <c r="G78" s="6">
        <f t="shared" si="17"/>
        <v>5</v>
      </c>
      <c r="H78" s="2">
        <v>530.52</v>
      </c>
      <c r="I78" t="s">
        <v>15</v>
      </c>
      <c r="J78" t="s">
        <v>16</v>
      </c>
      <c r="K78" s="2">
        <v>2652.6</v>
      </c>
      <c r="L78" s="2"/>
      <c r="M78" s="2"/>
      <c r="N78"/>
      <c r="O78" s="4">
        <v>22</v>
      </c>
      <c r="P78">
        <v>7</v>
      </c>
      <c r="Q78">
        <v>2025</v>
      </c>
      <c r="R78" s="1">
        <f t="shared" si="18"/>
        <v>45860</v>
      </c>
      <c r="T78">
        <v>5</v>
      </c>
      <c r="U78">
        <f t="shared" si="29"/>
        <v>5</v>
      </c>
      <c r="V78">
        <f t="shared" si="22"/>
        <v>5</v>
      </c>
      <c r="W78">
        <f t="shared" si="23"/>
        <v>5</v>
      </c>
      <c r="X78">
        <f t="shared" si="24"/>
        <v>5</v>
      </c>
      <c r="Z78" s="6">
        <f t="shared" si="25"/>
        <v>5</v>
      </c>
      <c r="AA78">
        <f t="shared" si="19"/>
        <v>530.52</v>
      </c>
      <c r="AB78" s="2">
        <f t="shared" si="26"/>
        <v>530.52</v>
      </c>
      <c r="AC78" s="2">
        <f t="shared" si="20"/>
        <v>2652.6</v>
      </c>
      <c r="AD78" t="str">
        <f t="shared" si="21"/>
        <v>Books</v>
      </c>
      <c r="AE78" t="str">
        <f t="shared" si="27"/>
        <v>Books</v>
      </c>
      <c r="AF78" t="str" cm="1">
        <f t="array" ref="AF78">IF(OR(F78=0,F78="0"),   _xlfn.XLOOKUP(E78, _xlfn._xlws.FILTER(E:E, (F:F&lt;&gt;"0")*(F:F&lt;&gt;0)), _xlfn._xlws.FILTER(F:F, (F:F&lt;&gt;"0")*(F:F&lt;&gt;0)), ""),F78)</f>
        <v>Books</v>
      </c>
    </row>
    <row r="79" spans="1:32" x14ac:dyDescent="0.3">
      <c r="A79">
        <v>177</v>
      </c>
      <c r="B79" t="s">
        <v>201</v>
      </c>
      <c r="C79" t="s">
        <v>202</v>
      </c>
      <c r="D79" s="1">
        <v>45866</v>
      </c>
      <c r="E79" t="s">
        <v>135</v>
      </c>
      <c r="F79" t="s">
        <v>20</v>
      </c>
      <c r="G79" s="6">
        <f t="shared" si="17"/>
        <v>1</v>
      </c>
      <c r="H79" s="2">
        <v>69.48</v>
      </c>
      <c r="I79" t="s">
        <v>40</v>
      </c>
      <c r="J79" t="s">
        <v>43</v>
      </c>
      <c r="K79" s="2">
        <v>69.48</v>
      </c>
      <c r="L79" s="2"/>
      <c r="M79" s="2"/>
      <c r="N79"/>
      <c r="O79" s="5">
        <v>28</v>
      </c>
      <c r="P79">
        <v>7</v>
      </c>
      <c r="Q79">
        <v>2025</v>
      </c>
      <c r="R79" s="1">
        <f t="shared" si="18"/>
        <v>45866</v>
      </c>
      <c r="T79">
        <v>1</v>
      </c>
      <c r="U79">
        <f t="shared" si="29"/>
        <v>1</v>
      </c>
      <c r="V79">
        <f t="shared" si="22"/>
        <v>1</v>
      </c>
      <c r="W79">
        <f t="shared" si="23"/>
        <v>1</v>
      </c>
      <c r="X79">
        <f t="shared" si="24"/>
        <v>1</v>
      </c>
      <c r="Z79" s="6">
        <f t="shared" si="25"/>
        <v>1</v>
      </c>
      <c r="AA79">
        <f t="shared" si="19"/>
        <v>69.48</v>
      </c>
      <c r="AB79" s="2">
        <f t="shared" si="26"/>
        <v>69.48</v>
      </c>
      <c r="AC79" s="2">
        <f t="shared" si="20"/>
        <v>69.48</v>
      </c>
      <c r="AD79" t="str">
        <f t="shared" si="21"/>
        <v>Electronics</v>
      </c>
      <c r="AE79" t="str">
        <f t="shared" si="27"/>
        <v>Electronics</v>
      </c>
      <c r="AF79" t="str" cm="1">
        <f t="array" ref="AF79">IF(OR(F79=0,F79="0"),   _xlfn.XLOOKUP(E79, _xlfn._xlws.FILTER(E:E, (F:F&lt;&gt;"0")*(F:F&lt;&gt;0)), _xlfn._xlws.FILTER(F:F, (F:F&lt;&gt;"0")*(F:F&lt;&gt;0)), ""),F79)</f>
        <v>Electronics</v>
      </c>
    </row>
    <row r="80" spans="1:32" x14ac:dyDescent="0.3">
      <c r="A80">
        <v>178</v>
      </c>
      <c r="B80" t="s">
        <v>203</v>
      </c>
      <c r="C80" t="s">
        <v>204</v>
      </c>
      <c r="D80" s="1">
        <v>45918</v>
      </c>
      <c r="E80" t="s">
        <v>25</v>
      </c>
      <c r="F80" t="s">
        <v>26</v>
      </c>
      <c r="G80" s="6">
        <f t="shared" si="17"/>
        <v>3</v>
      </c>
      <c r="H80" s="2">
        <v>472.14</v>
      </c>
      <c r="I80" t="s">
        <v>21</v>
      </c>
      <c r="J80" t="s">
        <v>43</v>
      </c>
      <c r="K80" s="2">
        <v>1416.42</v>
      </c>
      <c r="L80" s="2"/>
      <c r="M80" s="2"/>
      <c r="N80"/>
      <c r="O80" s="4">
        <v>18</v>
      </c>
      <c r="P80">
        <v>9</v>
      </c>
      <c r="Q80">
        <v>2025</v>
      </c>
      <c r="R80" s="1">
        <f t="shared" si="18"/>
        <v>45918</v>
      </c>
      <c r="T80">
        <v>3</v>
      </c>
      <c r="U80">
        <f t="shared" si="29"/>
        <v>3</v>
      </c>
      <c r="V80">
        <f t="shared" si="22"/>
        <v>3</v>
      </c>
      <c r="W80">
        <f t="shared" si="23"/>
        <v>3</v>
      </c>
      <c r="X80">
        <f t="shared" si="24"/>
        <v>3</v>
      </c>
      <c r="Z80" s="6">
        <f t="shared" si="25"/>
        <v>3</v>
      </c>
      <c r="AA80">
        <f t="shared" si="19"/>
        <v>472.14</v>
      </c>
      <c r="AB80" s="2">
        <f t="shared" si="26"/>
        <v>472.14</v>
      </c>
      <c r="AC80" s="2">
        <f t="shared" si="20"/>
        <v>1416.42</v>
      </c>
      <c r="AD80" t="str">
        <f t="shared" si="21"/>
        <v>Sports</v>
      </c>
      <c r="AE80" t="str">
        <f t="shared" si="27"/>
        <v>Sports</v>
      </c>
      <c r="AF80" t="str" cm="1">
        <f t="array" ref="AF80">IF(OR(F80=0,F80="0"),   _xlfn.XLOOKUP(E80, _xlfn._xlws.FILTER(E:E, (F:F&lt;&gt;"0")*(F:F&lt;&gt;0)), _xlfn._xlws.FILTER(F:F, (F:F&lt;&gt;"0")*(F:F&lt;&gt;0)), ""),F80)</f>
        <v>Sports</v>
      </c>
    </row>
    <row r="81" spans="1:32" x14ac:dyDescent="0.3">
      <c r="A81">
        <v>179</v>
      </c>
      <c r="B81" t="s">
        <v>205</v>
      </c>
      <c r="C81" t="s">
        <v>206</v>
      </c>
      <c r="D81" s="1">
        <v>45903</v>
      </c>
      <c r="E81" t="s">
        <v>78</v>
      </c>
      <c r="F81" t="s">
        <v>26</v>
      </c>
      <c r="G81" s="6">
        <f t="shared" si="17"/>
        <v>3</v>
      </c>
      <c r="H81" s="2">
        <v>868.67</v>
      </c>
      <c r="I81" t="s">
        <v>21</v>
      </c>
      <c r="J81" t="s">
        <v>27</v>
      </c>
      <c r="K81" s="2">
        <v>2606.0099999999998</v>
      </c>
      <c r="L81" s="2"/>
      <c r="M81" s="2"/>
      <c r="N81"/>
      <c r="O81" s="5">
        <v>3</v>
      </c>
      <c r="P81">
        <v>9</v>
      </c>
      <c r="Q81">
        <v>2025</v>
      </c>
      <c r="R81" s="1">
        <f t="shared" si="18"/>
        <v>45903</v>
      </c>
      <c r="T81">
        <v>3</v>
      </c>
      <c r="U81">
        <f>IFERROR(VALUE(T81),"")</f>
        <v>3</v>
      </c>
      <c r="V81">
        <f t="shared" si="22"/>
        <v>3</v>
      </c>
      <c r="W81">
        <f t="shared" si="23"/>
        <v>3</v>
      </c>
      <c r="X81">
        <f t="shared" si="24"/>
        <v>3</v>
      </c>
      <c r="Z81" s="6">
        <f t="shared" si="25"/>
        <v>3</v>
      </c>
      <c r="AA81">
        <f t="shared" si="19"/>
        <v>868.67</v>
      </c>
      <c r="AB81" s="2">
        <f t="shared" si="26"/>
        <v>868.67</v>
      </c>
      <c r="AC81" s="2">
        <f t="shared" si="20"/>
        <v>2606.0099999999998</v>
      </c>
      <c r="AD81" t="str">
        <f t="shared" si="21"/>
        <v>Sports</v>
      </c>
      <c r="AE81" t="str">
        <f t="shared" si="27"/>
        <v>Sports</v>
      </c>
      <c r="AF81" t="str" cm="1">
        <f t="array" ref="AF81">IF(OR(F81=0,F81="0"),   _xlfn.XLOOKUP(E81, _xlfn._xlws.FILTER(E:E, (F:F&lt;&gt;"0")*(F:F&lt;&gt;0)), _xlfn._xlws.FILTER(F:F, (F:F&lt;&gt;"0")*(F:F&lt;&gt;0)), ""),F81)</f>
        <v>Sports</v>
      </c>
    </row>
    <row r="82" spans="1:32" x14ac:dyDescent="0.3">
      <c r="A82">
        <v>180</v>
      </c>
      <c r="B82" t="s">
        <v>207</v>
      </c>
      <c r="C82" t="s">
        <v>208</v>
      </c>
      <c r="D82" s="1">
        <v>45742</v>
      </c>
      <c r="E82" t="s">
        <v>135</v>
      </c>
      <c r="F82" t="s">
        <v>20</v>
      </c>
      <c r="G82" s="6">
        <f t="shared" si="17"/>
        <v>2</v>
      </c>
      <c r="H82" s="2">
        <v>418.38</v>
      </c>
      <c r="I82" t="s">
        <v>48</v>
      </c>
      <c r="J82" t="s">
        <v>22</v>
      </c>
      <c r="K82" s="2">
        <v>836.76</v>
      </c>
      <c r="L82" s="2"/>
      <c r="M82" s="2"/>
      <c r="N82"/>
      <c r="O82" s="4">
        <v>26</v>
      </c>
      <c r="P82">
        <v>3</v>
      </c>
      <c r="Q82">
        <v>2025</v>
      </c>
      <c r="R82" s="1">
        <f t="shared" si="18"/>
        <v>45742</v>
      </c>
      <c r="T82">
        <v>2</v>
      </c>
      <c r="U82">
        <f t="shared" si="29"/>
        <v>2</v>
      </c>
      <c r="V82">
        <f t="shared" si="22"/>
        <v>2</v>
      </c>
      <c r="W82">
        <f t="shared" si="23"/>
        <v>2</v>
      </c>
      <c r="X82">
        <f t="shared" si="24"/>
        <v>2</v>
      </c>
      <c r="Z82" s="6">
        <f t="shared" si="25"/>
        <v>2</v>
      </c>
      <c r="AA82">
        <f t="shared" si="19"/>
        <v>418.38</v>
      </c>
      <c r="AB82" s="2">
        <f t="shared" si="26"/>
        <v>418.38</v>
      </c>
      <c r="AC82" s="2">
        <f t="shared" si="20"/>
        <v>836.76</v>
      </c>
      <c r="AD82" t="str">
        <f t="shared" si="21"/>
        <v>Electronics</v>
      </c>
      <c r="AE82" t="str">
        <f t="shared" si="27"/>
        <v>Electronics</v>
      </c>
      <c r="AF82" t="str" cm="1">
        <f t="array" ref="AF82">IF(OR(F82=0,F82="0"),   _xlfn.XLOOKUP(E82, _xlfn._xlws.FILTER(E:E, (F:F&lt;&gt;"0")*(F:F&lt;&gt;0)), _xlfn._xlws.FILTER(F:F, (F:F&lt;&gt;"0")*(F:F&lt;&gt;0)), ""),F82)</f>
        <v>Electronics</v>
      </c>
    </row>
    <row r="83" spans="1:32" x14ac:dyDescent="0.3">
      <c r="A83">
        <v>181</v>
      </c>
      <c r="B83" t="s">
        <v>209</v>
      </c>
      <c r="C83" t="s">
        <v>210</v>
      </c>
      <c r="D83" s="1">
        <v>45655</v>
      </c>
      <c r="E83" t="s">
        <v>19</v>
      </c>
      <c r="F83" t="s">
        <v>20</v>
      </c>
      <c r="G83" s="6">
        <f t="shared" si="17"/>
        <v>1</v>
      </c>
      <c r="H83" s="2">
        <v>266.48</v>
      </c>
      <c r="I83" t="s">
        <v>15</v>
      </c>
      <c r="J83" t="s">
        <v>37</v>
      </c>
      <c r="K83" s="2">
        <v>266.48</v>
      </c>
      <c r="L83" s="2"/>
      <c r="M83" s="2"/>
      <c r="N83"/>
      <c r="O83" s="5">
        <v>29</v>
      </c>
      <c r="P83">
        <v>12</v>
      </c>
      <c r="Q83">
        <v>2024</v>
      </c>
      <c r="R83" s="1">
        <f t="shared" si="18"/>
        <v>45655</v>
      </c>
      <c r="T83">
        <v>1</v>
      </c>
      <c r="U83">
        <f t="shared" si="29"/>
        <v>1</v>
      </c>
      <c r="V83">
        <f t="shared" si="22"/>
        <v>1</v>
      </c>
      <c r="W83">
        <f t="shared" si="23"/>
        <v>1</v>
      </c>
      <c r="X83">
        <f t="shared" si="24"/>
        <v>1</v>
      </c>
      <c r="Z83" s="6">
        <f t="shared" si="25"/>
        <v>1</v>
      </c>
      <c r="AA83">
        <f t="shared" si="19"/>
        <v>266.48</v>
      </c>
      <c r="AB83" s="2">
        <f t="shared" si="26"/>
        <v>266.48</v>
      </c>
      <c r="AC83" s="2">
        <f t="shared" si="20"/>
        <v>266.48</v>
      </c>
      <c r="AD83" t="str">
        <f t="shared" si="21"/>
        <v>Electronics</v>
      </c>
      <c r="AE83" t="str">
        <f t="shared" si="27"/>
        <v>Electronics</v>
      </c>
      <c r="AF83" t="str" cm="1">
        <f t="array" ref="AF83">IF(OR(F83=0,F83="0"),   _xlfn.XLOOKUP(E83, _xlfn._xlws.FILTER(E:E, (F:F&lt;&gt;"0")*(F:F&lt;&gt;0)), _xlfn._xlws.FILTER(F:F, (F:F&lt;&gt;"0")*(F:F&lt;&gt;0)), ""),F83)</f>
        <v>Electronics</v>
      </c>
    </row>
    <row r="84" spans="1:32" x14ac:dyDescent="0.3">
      <c r="A84">
        <v>182</v>
      </c>
      <c r="B84" t="s">
        <v>211</v>
      </c>
      <c r="C84" t="s">
        <v>212</v>
      </c>
      <c r="D84" s="1">
        <v>45872</v>
      </c>
      <c r="E84" t="s">
        <v>57</v>
      </c>
      <c r="F84" t="s">
        <v>58</v>
      </c>
      <c r="G84" s="6">
        <f t="shared" si="17"/>
        <v>4</v>
      </c>
      <c r="H84" s="2">
        <v>538.35</v>
      </c>
      <c r="I84" t="s">
        <v>21</v>
      </c>
      <c r="J84" t="s">
        <v>22</v>
      </c>
      <c r="K84" s="2">
        <v>2153.4</v>
      </c>
      <c r="L84" s="2"/>
      <c r="M84" s="2"/>
      <c r="N84"/>
      <c r="O84" s="4">
        <v>3</v>
      </c>
      <c r="P84">
        <v>8</v>
      </c>
      <c r="Q84">
        <v>2025</v>
      </c>
      <c r="R84" s="1">
        <f t="shared" si="18"/>
        <v>45872</v>
      </c>
      <c r="T84">
        <v>4</v>
      </c>
      <c r="U84">
        <f t="shared" si="29"/>
        <v>4</v>
      </c>
      <c r="V84">
        <f t="shared" si="22"/>
        <v>4</v>
      </c>
      <c r="W84">
        <f t="shared" si="23"/>
        <v>4</v>
      </c>
      <c r="X84">
        <f t="shared" si="24"/>
        <v>4</v>
      </c>
      <c r="Z84" s="6">
        <f t="shared" si="25"/>
        <v>4</v>
      </c>
      <c r="AA84">
        <f t="shared" si="19"/>
        <v>538.35</v>
      </c>
      <c r="AB84" s="2">
        <f t="shared" si="26"/>
        <v>538.35</v>
      </c>
      <c r="AC84" s="2">
        <f t="shared" si="20"/>
        <v>2153.4</v>
      </c>
      <c r="AD84" t="str">
        <f t="shared" si="21"/>
        <v>Clothing</v>
      </c>
      <c r="AE84" t="str">
        <f t="shared" si="27"/>
        <v>Clothing</v>
      </c>
      <c r="AF84" t="str" cm="1">
        <f t="array" ref="AF84">IF(OR(F84=0,F84="0"),   _xlfn.XLOOKUP(E84, _xlfn._xlws.FILTER(E:E, (F:F&lt;&gt;"0")*(F:F&lt;&gt;0)), _xlfn._xlws.FILTER(F:F, (F:F&lt;&gt;"0")*(F:F&lt;&gt;0)), ""),F84)</f>
        <v>Clothing</v>
      </c>
    </row>
    <row r="85" spans="1:32" x14ac:dyDescent="0.3">
      <c r="A85">
        <v>183</v>
      </c>
      <c r="B85" t="s">
        <v>213</v>
      </c>
      <c r="C85" t="s">
        <v>214</v>
      </c>
      <c r="D85" s="1">
        <v>45726</v>
      </c>
      <c r="E85" t="s">
        <v>57</v>
      </c>
      <c r="F85" t="s">
        <v>58</v>
      </c>
      <c r="G85" s="6">
        <f t="shared" si="17"/>
        <v>5</v>
      </c>
      <c r="H85" s="2">
        <v>621.52978021978015</v>
      </c>
      <c r="I85" t="s">
        <v>15</v>
      </c>
      <c r="J85" t="s">
        <v>43</v>
      </c>
      <c r="K85" s="2">
        <v>3107.6489010989008</v>
      </c>
      <c r="L85" s="2"/>
      <c r="M85" s="2"/>
      <c r="N85"/>
      <c r="O85" s="5">
        <v>10</v>
      </c>
      <c r="P85">
        <v>3</v>
      </c>
      <c r="Q85">
        <v>2025</v>
      </c>
      <c r="R85" s="1">
        <f t="shared" si="18"/>
        <v>45726</v>
      </c>
      <c r="T85">
        <v>5</v>
      </c>
      <c r="U85">
        <f t="shared" si="29"/>
        <v>5</v>
      </c>
      <c r="V85">
        <f t="shared" si="22"/>
        <v>5</v>
      </c>
      <c r="W85">
        <f t="shared" si="23"/>
        <v>5</v>
      </c>
      <c r="X85">
        <f t="shared" si="24"/>
        <v>5</v>
      </c>
      <c r="Z85" s="6">
        <f t="shared" si="25"/>
        <v>5</v>
      </c>
      <c r="AA85">
        <f t="shared" si="19"/>
        <v>621.52978021978004</v>
      </c>
      <c r="AB85" s="2">
        <f t="shared" si="26"/>
        <v>621.52978021978004</v>
      </c>
      <c r="AC85" s="2">
        <f t="shared" si="20"/>
        <v>3107.6489010989008</v>
      </c>
      <c r="AD85" t="str">
        <f t="shared" si="21"/>
        <v>Clothing</v>
      </c>
      <c r="AE85" t="str">
        <f t="shared" si="27"/>
        <v>Clothing</v>
      </c>
      <c r="AF85" t="str" cm="1">
        <f t="array" ref="AF85">IF(OR(F85=0,F85="0"),   _xlfn.XLOOKUP(E85, _xlfn._xlws.FILTER(E:E, (F:F&lt;&gt;"0")*(F:F&lt;&gt;0)), _xlfn._xlws.FILTER(F:F, (F:F&lt;&gt;"0")*(F:F&lt;&gt;0)), ""),F85)</f>
        <v>Clothing</v>
      </c>
    </row>
    <row r="86" spans="1:32" x14ac:dyDescent="0.3">
      <c r="A86">
        <v>184</v>
      </c>
      <c r="B86" t="s">
        <v>215</v>
      </c>
      <c r="C86" t="s">
        <v>216</v>
      </c>
      <c r="D86" s="1">
        <v>45703</v>
      </c>
      <c r="E86" t="s">
        <v>160</v>
      </c>
      <c r="F86" t="s">
        <v>58</v>
      </c>
      <c r="G86" s="6">
        <f t="shared" si="17"/>
        <v>4</v>
      </c>
      <c r="H86" s="2">
        <v>101.19</v>
      </c>
      <c r="I86" t="s">
        <v>40</v>
      </c>
      <c r="J86" t="s">
        <v>22</v>
      </c>
      <c r="K86" s="2">
        <v>404.76</v>
      </c>
      <c r="L86" s="2"/>
      <c r="M86" s="2"/>
      <c r="N86"/>
      <c r="O86" s="4">
        <v>15</v>
      </c>
      <c r="P86">
        <v>2</v>
      </c>
      <c r="Q86">
        <v>2025</v>
      </c>
      <c r="R86" s="1">
        <f t="shared" si="18"/>
        <v>45703</v>
      </c>
      <c r="T86">
        <v>4</v>
      </c>
      <c r="U86">
        <f t="shared" si="29"/>
        <v>4</v>
      </c>
      <c r="V86">
        <f t="shared" si="22"/>
        <v>4</v>
      </c>
      <c r="W86">
        <f t="shared" si="23"/>
        <v>4</v>
      </c>
      <c r="X86">
        <f t="shared" si="24"/>
        <v>4</v>
      </c>
      <c r="Z86" s="6">
        <f t="shared" si="25"/>
        <v>4</v>
      </c>
      <c r="AA86">
        <f t="shared" si="19"/>
        <v>101.19</v>
      </c>
      <c r="AB86" s="2">
        <f t="shared" si="26"/>
        <v>101.19</v>
      </c>
      <c r="AC86" s="2">
        <f t="shared" si="20"/>
        <v>404.76</v>
      </c>
      <c r="AD86" t="str">
        <f t="shared" si="21"/>
        <v>Clothing</v>
      </c>
      <c r="AE86" t="str">
        <f t="shared" si="27"/>
        <v>Clothing</v>
      </c>
      <c r="AF86" t="str" cm="1">
        <f t="array" ref="AF86">IF(OR(F86=0,F86="0"),   _xlfn.XLOOKUP(E86, _xlfn._xlws.FILTER(E:E, (F:F&lt;&gt;"0")*(F:F&lt;&gt;0)), _xlfn._xlws.FILTER(F:F, (F:F&lt;&gt;"0")*(F:F&lt;&gt;0)), ""),F86)</f>
        <v>Clothing</v>
      </c>
    </row>
    <row r="87" spans="1:32" x14ac:dyDescent="0.3">
      <c r="A87">
        <v>185</v>
      </c>
      <c r="B87" t="s">
        <v>217</v>
      </c>
      <c r="C87" t="s">
        <v>218</v>
      </c>
      <c r="D87" s="1">
        <v>45883</v>
      </c>
      <c r="E87" t="s">
        <v>132</v>
      </c>
      <c r="F87" t="s">
        <v>26</v>
      </c>
      <c r="G87" s="6">
        <f t="shared" si="17"/>
        <v>2</v>
      </c>
      <c r="H87" s="2">
        <v>730.92</v>
      </c>
      <c r="I87" t="s">
        <v>15</v>
      </c>
      <c r="J87" t="s">
        <v>37</v>
      </c>
      <c r="K87" s="2">
        <v>1461.84</v>
      </c>
      <c r="L87" s="2"/>
      <c r="M87" s="2"/>
      <c r="N87"/>
      <c r="O87" s="5">
        <v>14</v>
      </c>
      <c r="P87">
        <v>8</v>
      </c>
      <c r="Q87">
        <v>2025</v>
      </c>
      <c r="R87" s="1">
        <f t="shared" si="18"/>
        <v>45883</v>
      </c>
      <c r="T87">
        <v>2</v>
      </c>
      <c r="U87">
        <f t="shared" si="29"/>
        <v>2</v>
      </c>
      <c r="V87">
        <f t="shared" si="22"/>
        <v>2</v>
      </c>
      <c r="W87">
        <f t="shared" si="23"/>
        <v>2</v>
      </c>
      <c r="X87">
        <f t="shared" si="24"/>
        <v>2</v>
      </c>
      <c r="Z87" s="6">
        <f t="shared" si="25"/>
        <v>2</v>
      </c>
      <c r="AA87">
        <f t="shared" si="19"/>
        <v>730.92</v>
      </c>
      <c r="AB87" s="2">
        <f t="shared" si="26"/>
        <v>730.92</v>
      </c>
      <c r="AC87" s="2">
        <f t="shared" si="20"/>
        <v>1461.84</v>
      </c>
      <c r="AD87" t="str">
        <f t="shared" si="21"/>
        <v>Sports</v>
      </c>
      <c r="AE87" t="str">
        <f t="shared" si="27"/>
        <v>Sports</v>
      </c>
      <c r="AF87" t="str" cm="1">
        <f t="array" ref="AF87">IF(OR(F87=0,F87="0"),   _xlfn.XLOOKUP(E87, _xlfn._xlws.FILTER(E:E, (F:F&lt;&gt;"0")*(F:F&lt;&gt;0)), _xlfn._xlws.FILTER(F:F, (F:F&lt;&gt;"0")*(F:F&lt;&gt;0)), ""),F87)</f>
        <v>Sports</v>
      </c>
    </row>
    <row r="88" spans="1:32" x14ac:dyDescent="0.3">
      <c r="A88">
        <v>186</v>
      </c>
      <c r="B88" t="s">
        <v>219</v>
      </c>
      <c r="C88" t="s">
        <v>220</v>
      </c>
      <c r="D88" s="1">
        <v>45936</v>
      </c>
      <c r="E88" t="s">
        <v>135</v>
      </c>
      <c r="F88" t="s">
        <v>20</v>
      </c>
      <c r="G88" s="6">
        <f t="shared" si="17"/>
        <v>1</v>
      </c>
      <c r="H88" s="2">
        <v>365.34</v>
      </c>
      <c r="I88" t="s">
        <v>40</v>
      </c>
      <c r="J88" t="s">
        <v>27</v>
      </c>
      <c r="K88" s="2">
        <v>365.34</v>
      </c>
      <c r="L88" s="2"/>
      <c r="M88" s="2"/>
      <c r="N88"/>
      <c r="O88" s="4">
        <v>6</v>
      </c>
      <c r="P88">
        <v>10</v>
      </c>
      <c r="Q88">
        <v>2025</v>
      </c>
      <c r="R88" s="1">
        <f t="shared" si="18"/>
        <v>45936</v>
      </c>
      <c r="T88">
        <v>1</v>
      </c>
      <c r="U88">
        <f t="shared" si="29"/>
        <v>1</v>
      </c>
      <c r="V88">
        <f t="shared" si="22"/>
        <v>1</v>
      </c>
      <c r="W88">
        <f t="shared" si="23"/>
        <v>1</v>
      </c>
      <c r="X88">
        <f t="shared" si="24"/>
        <v>1</v>
      </c>
      <c r="Z88" s="6">
        <f t="shared" si="25"/>
        <v>1</v>
      </c>
      <c r="AA88">
        <f t="shared" si="19"/>
        <v>365.34</v>
      </c>
      <c r="AB88" s="2">
        <f t="shared" si="26"/>
        <v>365.34</v>
      </c>
      <c r="AC88" s="2">
        <f t="shared" si="20"/>
        <v>365.34</v>
      </c>
      <c r="AD88" t="str">
        <f t="shared" si="21"/>
        <v>Electronics</v>
      </c>
      <c r="AE88" t="str">
        <f t="shared" si="27"/>
        <v>Electronics</v>
      </c>
      <c r="AF88" t="str" cm="1">
        <f t="array" ref="AF88">IF(OR(F88=0,F88="0"),   _xlfn.XLOOKUP(E88, _xlfn._xlws.FILTER(E:E, (F:F&lt;&gt;"0")*(F:F&lt;&gt;0)), _xlfn._xlws.FILTER(F:F, (F:F&lt;&gt;"0")*(F:F&lt;&gt;0)), ""),F88)</f>
        <v>Electronics</v>
      </c>
    </row>
    <row r="89" spans="1:32" x14ac:dyDescent="0.3">
      <c r="A89">
        <v>187</v>
      </c>
      <c r="B89" t="s">
        <v>221</v>
      </c>
      <c r="C89" t="s">
        <v>222</v>
      </c>
      <c r="D89" s="1">
        <v>45615</v>
      </c>
      <c r="E89" t="s">
        <v>19</v>
      </c>
      <c r="F89" t="s">
        <v>20</v>
      </c>
      <c r="G89" s="6">
        <f t="shared" si="17"/>
        <v>3</v>
      </c>
      <c r="H89" s="2">
        <v>882.96</v>
      </c>
      <c r="I89" t="s">
        <v>40</v>
      </c>
      <c r="J89" t="s">
        <v>43</v>
      </c>
      <c r="K89" s="2">
        <v>2648.88</v>
      </c>
      <c r="L89" s="2"/>
      <c r="M89" s="2"/>
      <c r="N89"/>
      <c r="O89" s="5">
        <v>19</v>
      </c>
      <c r="P89">
        <v>11</v>
      </c>
      <c r="Q89">
        <v>2024</v>
      </c>
      <c r="R89" s="1">
        <f t="shared" si="18"/>
        <v>45615</v>
      </c>
      <c r="T89">
        <v>3</v>
      </c>
      <c r="U89">
        <f t="shared" si="29"/>
        <v>3</v>
      </c>
      <c r="V89">
        <f t="shared" si="22"/>
        <v>3</v>
      </c>
      <c r="W89">
        <f t="shared" si="23"/>
        <v>3</v>
      </c>
      <c r="X89">
        <f t="shared" si="24"/>
        <v>3</v>
      </c>
      <c r="Z89" s="6">
        <f t="shared" si="25"/>
        <v>3</v>
      </c>
      <c r="AA89">
        <f t="shared" si="19"/>
        <v>882.96</v>
      </c>
      <c r="AB89" s="2">
        <f t="shared" si="26"/>
        <v>882.96</v>
      </c>
      <c r="AC89" s="2">
        <f t="shared" si="20"/>
        <v>2648.88</v>
      </c>
      <c r="AD89" t="str">
        <f t="shared" si="21"/>
        <v>Electronics</v>
      </c>
      <c r="AE89" t="str">
        <f t="shared" si="27"/>
        <v>Electronics</v>
      </c>
      <c r="AF89" t="str" cm="1">
        <f t="array" ref="AF89">IF(OR(F89=0,F89="0"),   _xlfn.XLOOKUP(E89, _xlfn._xlws.FILTER(E:E, (F:F&lt;&gt;"0")*(F:F&lt;&gt;0)), _xlfn._xlws.FILTER(F:F, (F:F&lt;&gt;"0")*(F:F&lt;&gt;0)), ""),F89)</f>
        <v>Electronics</v>
      </c>
    </row>
    <row r="90" spans="1:32" x14ac:dyDescent="0.3">
      <c r="A90">
        <v>188</v>
      </c>
      <c r="B90" t="s">
        <v>223</v>
      </c>
      <c r="C90" t="s">
        <v>224</v>
      </c>
      <c r="D90" s="1">
        <v>45615</v>
      </c>
      <c r="E90" t="s">
        <v>69</v>
      </c>
      <c r="F90" t="s">
        <v>14</v>
      </c>
      <c r="G90" s="6">
        <f t="shared" si="17"/>
        <v>5</v>
      </c>
      <c r="H90" s="2">
        <v>504.05</v>
      </c>
      <c r="I90" t="s">
        <v>15</v>
      </c>
      <c r="J90" t="s">
        <v>16</v>
      </c>
      <c r="K90" s="2">
        <v>2520.25</v>
      </c>
      <c r="L90" s="2"/>
      <c r="M90" s="2"/>
      <c r="N90"/>
      <c r="O90" s="4">
        <v>19</v>
      </c>
      <c r="P90">
        <v>11</v>
      </c>
      <c r="Q90">
        <v>2024</v>
      </c>
      <c r="R90" s="1">
        <f t="shared" si="18"/>
        <v>45615</v>
      </c>
      <c r="T90">
        <v>5</v>
      </c>
      <c r="U90">
        <f t="shared" si="29"/>
        <v>5</v>
      </c>
      <c r="V90">
        <f t="shared" si="22"/>
        <v>5</v>
      </c>
      <c r="W90">
        <f t="shared" si="23"/>
        <v>5</v>
      </c>
      <c r="X90">
        <f t="shared" si="24"/>
        <v>5</v>
      </c>
      <c r="Z90" s="6">
        <f t="shared" si="25"/>
        <v>5</v>
      </c>
      <c r="AA90">
        <f t="shared" si="19"/>
        <v>504.05</v>
      </c>
      <c r="AB90" s="2">
        <f t="shared" si="26"/>
        <v>504.05</v>
      </c>
      <c r="AC90" s="2">
        <f t="shared" si="20"/>
        <v>2520.25</v>
      </c>
      <c r="AD90" t="str">
        <f t="shared" si="21"/>
        <v>Home</v>
      </c>
      <c r="AE90" t="str">
        <f t="shared" si="27"/>
        <v>Home</v>
      </c>
      <c r="AF90" t="str" cm="1">
        <f t="array" ref="AF90">IF(OR(F90=0,F90="0"),   _xlfn.XLOOKUP(E90, _xlfn._xlws.FILTER(E:E, (F:F&lt;&gt;"0")*(F:F&lt;&gt;0)), _xlfn._xlws.FILTER(F:F, (F:F&lt;&gt;"0")*(F:F&lt;&gt;0)), ""),F90)</f>
        <v>Home</v>
      </c>
    </row>
    <row r="91" spans="1:32" x14ac:dyDescent="0.3">
      <c r="A91">
        <v>189</v>
      </c>
      <c r="B91" t="s">
        <v>225</v>
      </c>
      <c r="C91" t="s">
        <v>226</v>
      </c>
      <c r="D91" s="1">
        <v>45883</v>
      </c>
      <c r="E91" t="s">
        <v>96</v>
      </c>
      <c r="F91" t="s">
        <v>14</v>
      </c>
      <c r="G91" s="6">
        <f t="shared" si="17"/>
        <v>1</v>
      </c>
      <c r="H91" s="2">
        <v>814.68</v>
      </c>
      <c r="I91" t="s">
        <v>15</v>
      </c>
      <c r="J91" t="s">
        <v>43</v>
      </c>
      <c r="K91" s="2">
        <v>814.68</v>
      </c>
      <c r="L91" s="2"/>
      <c r="M91" s="2"/>
      <c r="N91"/>
      <c r="O91" s="5">
        <v>14</v>
      </c>
      <c r="P91">
        <v>8</v>
      </c>
      <c r="Q91">
        <v>2025</v>
      </c>
      <c r="R91" s="1">
        <f t="shared" si="18"/>
        <v>45883</v>
      </c>
      <c r="T91">
        <v>1</v>
      </c>
      <c r="U91">
        <f t="shared" si="29"/>
        <v>1</v>
      </c>
      <c r="V91">
        <f t="shared" si="22"/>
        <v>1</v>
      </c>
      <c r="W91">
        <f t="shared" si="23"/>
        <v>1</v>
      </c>
      <c r="X91">
        <f t="shared" si="24"/>
        <v>1</v>
      </c>
      <c r="Z91" s="6">
        <f t="shared" si="25"/>
        <v>1</v>
      </c>
      <c r="AA91">
        <f t="shared" si="19"/>
        <v>814.68</v>
      </c>
      <c r="AB91" s="2">
        <f t="shared" si="26"/>
        <v>814.68</v>
      </c>
      <c r="AC91" s="2">
        <f t="shared" si="20"/>
        <v>814.68</v>
      </c>
      <c r="AD91" t="str">
        <f t="shared" si="21"/>
        <v>Home</v>
      </c>
      <c r="AE91" t="str">
        <f t="shared" si="27"/>
        <v>Home</v>
      </c>
      <c r="AF91" t="str" cm="1">
        <f t="array" ref="AF91">IF(OR(F91=0,F91="0"),   _xlfn.XLOOKUP(E91, _xlfn._xlws.FILTER(E:E, (F:F&lt;&gt;"0")*(F:F&lt;&gt;0)), _xlfn._xlws.FILTER(F:F, (F:F&lt;&gt;"0")*(F:F&lt;&gt;0)), ""),F91)</f>
        <v>Home</v>
      </c>
    </row>
    <row r="92" spans="1:32" x14ac:dyDescent="0.3">
      <c r="A92">
        <v>190</v>
      </c>
      <c r="B92" t="s">
        <v>227</v>
      </c>
      <c r="C92" t="s">
        <v>228</v>
      </c>
      <c r="D92" s="1">
        <v>45837</v>
      </c>
      <c r="E92" t="s">
        <v>85</v>
      </c>
      <c r="F92" t="s">
        <v>14</v>
      </c>
      <c r="G92" s="6">
        <f t="shared" si="17"/>
        <v>1</v>
      </c>
      <c r="H92" s="2">
        <v>920.37</v>
      </c>
      <c r="I92" t="s">
        <v>40</v>
      </c>
      <c r="J92" t="s">
        <v>22</v>
      </c>
      <c r="K92" s="2">
        <v>920.37</v>
      </c>
      <c r="L92" s="2"/>
      <c r="M92" s="2"/>
      <c r="N92"/>
      <c r="O92" s="4">
        <v>29</v>
      </c>
      <c r="P92">
        <v>6</v>
      </c>
      <c r="Q92">
        <v>2025</v>
      </c>
      <c r="R92" s="1">
        <f t="shared" si="18"/>
        <v>45837</v>
      </c>
      <c r="T92">
        <v>1</v>
      </c>
      <c r="U92">
        <f t="shared" si="29"/>
        <v>1</v>
      </c>
      <c r="V92">
        <f t="shared" si="22"/>
        <v>1</v>
      </c>
      <c r="W92">
        <f t="shared" si="23"/>
        <v>1</v>
      </c>
      <c r="X92">
        <f t="shared" si="24"/>
        <v>1</v>
      </c>
      <c r="Z92" s="6">
        <f t="shared" si="25"/>
        <v>1</v>
      </c>
      <c r="AA92">
        <f t="shared" si="19"/>
        <v>920.37</v>
      </c>
      <c r="AB92" s="2">
        <f t="shared" si="26"/>
        <v>920.37</v>
      </c>
      <c r="AC92" s="2">
        <f t="shared" si="20"/>
        <v>920.37</v>
      </c>
      <c r="AD92" t="str">
        <f t="shared" si="21"/>
        <v>Home</v>
      </c>
      <c r="AE92" t="str">
        <f t="shared" si="27"/>
        <v>Home</v>
      </c>
      <c r="AF92" t="str" cm="1">
        <f t="array" ref="AF92">IF(OR(F92=0,F92="0"),   _xlfn.XLOOKUP(E92, _xlfn._xlws.FILTER(E:E, (F:F&lt;&gt;"0")*(F:F&lt;&gt;0)), _xlfn._xlws.FILTER(F:F, (F:F&lt;&gt;"0")*(F:F&lt;&gt;0)), ""),F92)</f>
        <v>Home</v>
      </c>
    </row>
    <row r="93" spans="1:32" x14ac:dyDescent="0.3">
      <c r="A93">
        <v>191</v>
      </c>
      <c r="B93" t="s">
        <v>229</v>
      </c>
      <c r="C93" t="s">
        <v>230</v>
      </c>
      <c r="D93" s="1">
        <v>45856</v>
      </c>
      <c r="E93" t="s">
        <v>61</v>
      </c>
      <c r="F93" t="s">
        <v>31</v>
      </c>
      <c r="G93" s="6">
        <f t="shared" si="17"/>
        <v>2</v>
      </c>
      <c r="H93" s="2">
        <v>881.02</v>
      </c>
      <c r="I93" t="s">
        <v>15</v>
      </c>
      <c r="J93" t="s">
        <v>43</v>
      </c>
      <c r="K93" s="2">
        <v>1762.04</v>
      </c>
      <c r="L93" s="2"/>
      <c r="M93" s="2"/>
      <c r="N93"/>
      <c r="O93" s="5">
        <v>18</v>
      </c>
      <c r="P93">
        <v>7</v>
      </c>
      <c r="Q93">
        <v>2025</v>
      </c>
      <c r="R93" s="1">
        <f t="shared" si="18"/>
        <v>45856</v>
      </c>
      <c r="T93">
        <v>2</v>
      </c>
      <c r="U93">
        <f t="shared" si="29"/>
        <v>2</v>
      </c>
      <c r="V93">
        <f t="shared" si="22"/>
        <v>2</v>
      </c>
      <c r="W93">
        <f t="shared" si="23"/>
        <v>2</v>
      </c>
      <c r="X93">
        <f t="shared" si="24"/>
        <v>2</v>
      </c>
      <c r="Z93" s="6">
        <f t="shared" si="25"/>
        <v>2</v>
      </c>
      <c r="AA93">
        <f t="shared" si="19"/>
        <v>881.02</v>
      </c>
      <c r="AB93" s="2">
        <f t="shared" si="26"/>
        <v>881.02</v>
      </c>
      <c r="AC93" s="2">
        <f t="shared" si="20"/>
        <v>1762.04</v>
      </c>
      <c r="AD93" t="str">
        <f t="shared" si="21"/>
        <v>Books</v>
      </c>
      <c r="AE93" t="str">
        <f t="shared" si="27"/>
        <v>Books</v>
      </c>
      <c r="AF93" t="str" cm="1">
        <f t="array" ref="AF93">IF(OR(F93=0,F93="0"),   _xlfn.XLOOKUP(E93, _xlfn._xlws.FILTER(E:E, (F:F&lt;&gt;"0")*(F:F&lt;&gt;0)), _xlfn._xlws.FILTER(F:F, (F:F&lt;&gt;"0")*(F:F&lt;&gt;0)), ""),F93)</f>
        <v>Books</v>
      </c>
    </row>
    <row r="94" spans="1:32" x14ac:dyDescent="0.3">
      <c r="A94">
        <v>192</v>
      </c>
      <c r="B94" t="s">
        <v>231</v>
      </c>
      <c r="C94" t="s">
        <v>232</v>
      </c>
      <c r="D94" s="1">
        <v>45845</v>
      </c>
      <c r="E94" t="s">
        <v>140</v>
      </c>
      <c r="F94" t="s">
        <v>58</v>
      </c>
      <c r="G94" s="6">
        <f t="shared" si="17"/>
        <v>3.0744680851063828</v>
      </c>
      <c r="H94" s="2">
        <v>203.63</v>
      </c>
      <c r="I94" t="s">
        <v>48</v>
      </c>
      <c r="J94" t="s">
        <v>43</v>
      </c>
      <c r="K94" s="2">
        <v>626.05393617021275</v>
      </c>
      <c r="L94" s="2"/>
      <c r="M94" s="2"/>
      <c r="N94"/>
      <c r="O94" s="4" t="s">
        <v>233</v>
      </c>
      <c r="R94" s="1" t="e">
        <f t="shared" si="18"/>
        <v>#VALUE!</v>
      </c>
      <c r="T94" t="s">
        <v>234</v>
      </c>
      <c r="U94" t="str">
        <f t="shared" si="29"/>
        <v/>
      </c>
      <c r="V94" t="str">
        <f t="shared" si="22"/>
        <v/>
      </c>
      <c r="W94" t="str">
        <f t="shared" si="23"/>
        <v/>
      </c>
      <c r="X94" t="str">
        <f t="shared" si="24"/>
        <v/>
      </c>
      <c r="Z94" s="6">
        <f t="shared" si="25"/>
        <v>3.0744680851063828</v>
      </c>
      <c r="AA94">
        <f t="shared" si="19"/>
        <v>203.63</v>
      </c>
      <c r="AB94" s="2">
        <f t="shared" si="26"/>
        <v>203.63</v>
      </c>
      <c r="AC94" s="2">
        <f t="shared" si="20"/>
        <v>626.05393617021275</v>
      </c>
      <c r="AD94" t="str">
        <f t="shared" si="21"/>
        <v>Clothing</v>
      </c>
      <c r="AE94" t="str">
        <f t="shared" si="27"/>
        <v>Clothing</v>
      </c>
      <c r="AF94" t="str" cm="1">
        <f t="array" ref="AF94">IF(OR(F94=0,F94="0"),   _xlfn.XLOOKUP(E94, _xlfn._xlws.FILTER(E:E, (F:F&lt;&gt;"0")*(F:F&lt;&gt;0)), _xlfn._xlws.FILTER(F:F, (F:F&lt;&gt;"0")*(F:F&lt;&gt;0)), ""),F94)</f>
        <v>Clothing</v>
      </c>
    </row>
    <row r="95" spans="1:32" x14ac:dyDescent="0.3">
      <c r="A95">
        <v>193</v>
      </c>
      <c r="B95" t="s">
        <v>235</v>
      </c>
      <c r="C95" t="s">
        <v>236</v>
      </c>
      <c r="D95" s="1">
        <v>45814</v>
      </c>
      <c r="E95" t="s">
        <v>51</v>
      </c>
      <c r="F95" t="s">
        <v>26</v>
      </c>
      <c r="G95" s="6">
        <f t="shared" si="17"/>
        <v>3.0744680851063828</v>
      </c>
      <c r="H95" s="2">
        <v>522.02</v>
      </c>
      <c r="I95" t="s">
        <v>21</v>
      </c>
      <c r="J95" t="s">
        <v>16</v>
      </c>
      <c r="K95" s="2">
        <v>1604.9338297872339</v>
      </c>
      <c r="L95" s="2"/>
      <c r="M95" s="2"/>
      <c r="N95"/>
      <c r="O95" s="5">
        <v>6</v>
      </c>
      <c r="P95">
        <v>6</v>
      </c>
      <c r="Q95">
        <v>2025</v>
      </c>
      <c r="R95" s="1">
        <f t="shared" si="18"/>
        <v>45814</v>
      </c>
      <c r="U95">
        <f>IFERROR(VALUE(T95),"")</f>
        <v>0</v>
      </c>
      <c r="V95">
        <f t="shared" si="22"/>
        <v>0</v>
      </c>
      <c r="W95">
        <f t="shared" si="23"/>
        <v>0</v>
      </c>
      <c r="X95" t="str">
        <f t="shared" si="24"/>
        <v/>
      </c>
      <c r="Z95" s="6">
        <f t="shared" si="25"/>
        <v>3.0744680851063828</v>
      </c>
      <c r="AA95">
        <f t="shared" si="19"/>
        <v>522.02</v>
      </c>
      <c r="AB95" s="2">
        <f t="shared" si="26"/>
        <v>522.02</v>
      </c>
      <c r="AC95" s="2">
        <f t="shared" si="20"/>
        <v>1604.9338297872339</v>
      </c>
      <c r="AD95" t="str">
        <f t="shared" si="21"/>
        <v>Sports</v>
      </c>
      <c r="AE95" t="str">
        <f t="shared" si="27"/>
        <v>Sports</v>
      </c>
      <c r="AF95" t="str" cm="1">
        <f t="array" ref="AF95">IF(OR(F95=0,F95="0"),   _xlfn.XLOOKUP(E95, _xlfn._xlws.FILTER(E:E, (F:F&lt;&gt;"0")*(F:F&lt;&gt;0)), _xlfn._xlws.FILTER(F:F, (F:F&lt;&gt;"0")*(F:F&lt;&gt;0)), ""),F95)</f>
        <v>Sports</v>
      </c>
    </row>
    <row r="96" spans="1:32" x14ac:dyDescent="0.3">
      <c r="A96">
        <v>194</v>
      </c>
      <c r="B96" t="s">
        <v>237</v>
      </c>
      <c r="C96" t="s">
        <v>238</v>
      </c>
      <c r="D96" s="1">
        <v>45698</v>
      </c>
      <c r="E96" t="s">
        <v>96</v>
      </c>
      <c r="F96" t="s">
        <v>14</v>
      </c>
      <c r="G96" s="6">
        <f t="shared" si="17"/>
        <v>5</v>
      </c>
      <c r="H96" s="2">
        <v>944.54</v>
      </c>
      <c r="I96" t="s">
        <v>15</v>
      </c>
      <c r="J96" t="s">
        <v>43</v>
      </c>
      <c r="K96" s="2">
        <v>4722.7</v>
      </c>
      <c r="L96" s="2"/>
      <c r="M96" s="2"/>
      <c r="N96"/>
      <c r="O96" s="4">
        <v>10</v>
      </c>
      <c r="P96">
        <v>2</v>
      </c>
      <c r="Q96">
        <v>2025</v>
      </c>
      <c r="R96" s="1">
        <f t="shared" si="18"/>
        <v>45698</v>
      </c>
      <c r="T96">
        <v>5</v>
      </c>
      <c r="U96">
        <f t="shared" ref="U96:U101" si="30">IFERROR(VALUE(T96),"")</f>
        <v>5</v>
      </c>
      <c r="V96">
        <f t="shared" si="22"/>
        <v>5</v>
      </c>
      <c r="W96">
        <f t="shared" si="23"/>
        <v>5</v>
      </c>
      <c r="X96">
        <f t="shared" si="24"/>
        <v>5</v>
      </c>
      <c r="Z96" s="6">
        <f t="shared" si="25"/>
        <v>5</v>
      </c>
      <c r="AA96">
        <f t="shared" si="19"/>
        <v>944.54</v>
      </c>
      <c r="AB96" s="2">
        <f t="shared" si="26"/>
        <v>944.54</v>
      </c>
      <c r="AC96" s="2">
        <f t="shared" si="20"/>
        <v>4722.7</v>
      </c>
      <c r="AD96" t="str">
        <f t="shared" si="21"/>
        <v>Home</v>
      </c>
      <c r="AE96" t="str">
        <f t="shared" si="27"/>
        <v>Home</v>
      </c>
      <c r="AF96" t="str" cm="1">
        <f t="array" ref="AF96">IF(OR(F96=0,F96="0"),   _xlfn.XLOOKUP(E96, _xlfn._xlws.FILTER(E:E, (F:F&lt;&gt;"0")*(F:F&lt;&gt;0)), _xlfn._xlws.FILTER(F:F, (F:F&lt;&gt;"0")*(F:F&lt;&gt;0)), ""),F96)</f>
        <v>Home</v>
      </c>
    </row>
    <row r="97" spans="1:32" x14ac:dyDescent="0.3">
      <c r="A97">
        <v>195</v>
      </c>
      <c r="B97" t="s">
        <v>239</v>
      </c>
      <c r="C97" t="s">
        <v>240</v>
      </c>
      <c r="D97" s="1">
        <v>45827</v>
      </c>
      <c r="E97" t="s">
        <v>34</v>
      </c>
      <c r="F97" t="s">
        <v>31</v>
      </c>
      <c r="G97" s="6">
        <f t="shared" si="17"/>
        <v>5</v>
      </c>
      <c r="H97" s="2">
        <v>817.46</v>
      </c>
      <c r="I97" t="s">
        <v>15</v>
      </c>
      <c r="J97" t="s">
        <v>43</v>
      </c>
      <c r="K97" s="2">
        <v>4087.3</v>
      </c>
      <c r="L97" s="2"/>
      <c r="M97" s="2"/>
      <c r="N97"/>
      <c r="O97" s="5">
        <v>19</v>
      </c>
      <c r="P97">
        <v>6</v>
      </c>
      <c r="Q97">
        <v>2025</v>
      </c>
      <c r="R97" s="1">
        <f t="shared" si="18"/>
        <v>45827</v>
      </c>
      <c r="T97">
        <v>5</v>
      </c>
      <c r="U97">
        <f t="shared" si="30"/>
        <v>5</v>
      </c>
      <c r="V97">
        <f t="shared" si="22"/>
        <v>5</v>
      </c>
      <c r="W97">
        <f t="shared" si="23"/>
        <v>5</v>
      </c>
      <c r="X97">
        <f t="shared" si="24"/>
        <v>5</v>
      </c>
      <c r="Z97" s="6">
        <f t="shared" si="25"/>
        <v>5</v>
      </c>
      <c r="AA97">
        <f t="shared" si="19"/>
        <v>817.46</v>
      </c>
      <c r="AB97" s="2">
        <f t="shared" si="26"/>
        <v>817.46</v>
      </c>
      <c r="AC97" s="2">
        <f t="shared" si="20"/>
        <v>4087.3</v>
      </c>
      <c r="AD97" t="str">
        <f t="shared" si="21"/>
        <v>Books</v>
      </c>
      <c r="AE97" t="str">
        <f t="shared" si="27"/>
        <v>Books</v>
      </c>
      <c r="AF97" t="str" cm="1">
        <f t="array" ref="AF97">IF(OR(F97=0,F97="0"),   _xlfn.XLOOKUP(E97, _xlfn._xlws.FILTER(E:E, (F:F&lt;&gt;"0")*(F:F&lt;&gt;0)), _xlfn._xlws.FILTER(F:F, (F:F&lt;&gt;"0")*(F:F&lt;&gt;0)), ""),F97)</f>
        <v>Books</v>
      </c>
    </row>
    <row r="98" spans="1:32" x14ac:dyDescent="0.3">
      <c r="A98">
        <v>196</v>
      </c>
      <c r="B98" t="s">
        <v>241</v>
      </c>
      <c r="C98" t="s">
        <v>242</v>
      </c>
      <c r="D98" s="1">
        <v>45649</v>
      </c>
      <c r="E98" t="s">
        <v>85</v>
      </c>
      <c r="F98" t="s">
        <v>14</v>
      </c>
      <c r="G98" s="6">
        <f t="shared" si="17"/>
        <v>3.0744680851063828</v>
      </c>
      <c r="H98" s="2">
        <v>621.52978021978015</v>
      </c>
      <c r="I98" t="s">
        <v>21</v>
      </c>
      <c r="J98" t="s">
        <v>27</v>
      </c>
      <c r="K98" s="2">
        <v>1910.8734732288985</v>
      </c>
      <c r="L98" s="2"/>
      <c r="M98" s="2"/>
      <c r="N98"/>
      <c r="O98" s="4">
        <v>23</v>
      </c>
      <c r="P98">
        <v>12</v>
      </c>
      <c r="Q98">
        <v>2024</v>
      </c>
      <c r="R98" s="1">
        <f t="shared" ref="R98:R101" si="31">IFERROR(DATE(Q98,P98,DAY(O98)),DATEVALUE(O98))</f>
        <v>45649</v>
      </c>
      <c r="U98">
        <f t="shared" si="30"/>
        <v>0</v>
      </c>
      <c r="V98">
        <f t="shared" si="22"/>
        <v>0</v>
      </c>
      <c r="W98">
        <f t="shared" si="23"/>
        <v>0</v>
      </c>
      <c r="X98" t="str">
        <f t="shared" si="24"/>
        <v/>
      </c>
      <c r="Z98" s="6">
        <f t="shared" si="25"/>
        <v>3.0744680851063828</v>
      </c>
      <c r="AA98">
        <f t="shared" si="19"/>
        <v>621.52978021978004</v>
      </c>
      <c r="AB98" s="2">
        <f t="shared" si="26"/>
        <v>621.52978021978004</v>
      </c>
      <c r="AC98" s="2">
        <f t="shared" si="20"/>
        <v>1910.8734732288985</v>
      </c>
      <c r="AD98" t="str">
        <f t="shared" si="21"/>
        <v>Home</v>
      </c>
      <c r="AE98" t="str">
        <f t="shared" si="27"/>
        <v>Home</v>
      </c>
      <c r="AF98" t="str" cm="1">
        <f t="array" ref="AF98">IF(OR(F98=0,F98="0"),   _xlfn.XLOOKUP(E98, _xlfn._xlws.FILTER(E:E, (F:F&lt;&gt;"0")*(F:F&lt;&gt;0)), _xlfn._xlws.FILTER(F:F, (F:F&lt;&gt;"0")*(F:F&lt;&gt;0)), ""),F98)</f>
        <v>Home</v>
      </c>
    </row>
    <row r="99" spans="1:32" x14ac:dyDescent="0.3">
      <c r="A99">
        <v>197</v>
      </c>
      <c r="B99" t="s">
        <v>243</v>
      </c>
      <c r="C99" t="s">
        <v>244</v>
      </c>
      <c r="D99" s="1">
        <v>45831</v>
      </c>
      <c r="E99" t="s">
        <v>13</v>
      </c>
      <c r="F99" t="s">
        <v>14</v>
      </c>
      <c r="G99" s="6">
        <f t="shared" si="17"/>
        <v>1</v>
      </c>
      <c r="H99" s="2">
        <v>160.16</v>
      </c>
      <c r="I99" t="s">
        <v>21</v>
      </c>
      <c r="J99" t="s">
        <v>37</v>
      </c>
      <c r="K99" s="2">
        <v>160.16</v>
      </c>
      <c r="L99" s="2"/>
      <c r="M99" s="2"/>
      <c r="N99"/>
      <c r="O99" s="5">
        <v>23</v>
      </c>
      <c r="P99">
        <v>6</v>
      </c>
      <c r="Q99">
        <v>2025</v>
      </c>
      <c r="R99" s="1">
        <f t="shared" si="31"/>
        <v>45831</v>
      </c>
      <c r="T99">
        <v>1</v>
      </c>
      <c r="U99">
        <f t="shared" si="30"/>
        <v>1</v>
      </c>
      <c r="V99">
        <f t="shared" si="22"/>
        <v>1</v>
      </c>
      <c r="W99">
        <f t="shared" si="23"/>
        <v>1</v>
      </c>
      <c r="X99">
        <f t="shared" si="24"/>
        <v>1</v>
      </c>
      <c r="Z99" s="6">
        <f t="shared" si="25"/>
        <v>1</v>
      </c>
      <c r="AA99">
        <f t="shared" si="19"/>
        <v>160.16</v>
      </c>
      <c r="AB99" s="2">
        <f t="shared" si="26"/>
        <v>160.16</v>
      </c>
      <c r="AC99" s="2">
        <f t="shared" si="20"/>
        <v>160.16</v>
      </c>
      <c r="AD99" t="str">
        <f t="shared" si="21"/>
        <v>Home</v>
      </c>
      <c r="AE99" t="str">
        <f t="shared" si="27"/>
        <v>Home</v>
      </c>
      <c r="AF99" t="str" cm="1">
        <f t="array" ref="AF99">IF(OR(F99=0,F99="0"),   _xlfn.XLOOKUP(E99, _xlfn._xlws.FILTER(E:E, (F:F&lt;&gt;"0")*(F:F&lt;&gt;0)), _xlfn._xlws.FILTER(F:F, (F:F&lt;&gt;"0")*(F:F&lt;&gt;0)), ""),F99)</f>
        <v>Home</v>
      </c>
    </row>
    <row r="100" spans="1:32" x14ac:dyDescent="0.3">
      <c r="A100">
        <v>198</v>
      </c>
      <c r="B100" t="s">
        <v>245</v>
      </c>
      <c r="C100" t="s">
        <v>246</v>
      </c>
      <c r="D100" s="1">
        <v>45865</v>
      </c>
      <c r="E100" t="s">
        <v>85</v>
      </c>
      <c r="F100" t="s">
        <v>20</v>
      </c>
      <c r="G100" s="6">
        <f t="shared" si="17"/>
        <v>2</v>
      </c>
      <c r="H100" s="2">
        <v>497.01</v>
      </c>
      <c r="I100" t="s">
        <v>15</v>
      </c>
      <c r="J100" t="s">
        <v>16</v>
      </c>
      <c r="K100" s="2">
        <v>994.02</v>
      </c>
      <c r="L100" s="2"/>
      <c r="M100" s="2"/>
      <c r="N100"/>
      <c r="O100" s="4">
        <v>27</v>
      </c>
      <c r="P100">
        <v>7</v>
      </c>
      <c r="Q100">
        <v>2025</v>
      </c>
      <c r="R100" s="1">
        <f t="shared" si="31"/>
        <v>45865</v>
      </c>
      <c r="T100">
        <v>2</v>
      </c>
      <c r="U100">
        <f t="shared" si="30"/>
        <v>2</v>
      </c>
      <c r="V100">
        <f t="shared" si="22"/>
        <v>2</v>
      </c>
      <c r="W100">
        <f t="shared" si="23"/>
        <v>2</v>
      </c>
      <c r="X100">
        <f t="shared" si="24"/>
        <v>2</v>
      </c>
      <c r="Z100" s="6">
        <f t="shared" si="25"/>
        <v>2</v>
      </c>
      <c r="AA100">
        <f t="shared" si="19"/>
        <v>497.01</v>
      </c>
      <c r="AB100" s="2">
        <f t="shared" si="26"/>
        <v>497.01</v>
      </c>
      <c r="AC100" s="2">
        <f t="shared" si="20"/>
        <v>994.02</v>
      </c>
      <c r="AD100" t="str">
        <f t="shared" si="21"/>
        <v>Electronics</v>
      </c>
      <c r="AE100" t="str">
        <f t="shared" si="27"/>
        <v>Electronics</v>
      </c>
      <c r="AF100" t="str" cm="1">
        <f t="array" ref="AF100">IF(OR(F100=0,F100="0"),   _xlfn.XLOOKUP(E100, _xlfn._xlws.FILTER(E:E, (F:F&lt;&gt;"0")*(F:F&lt;&gt;0)), _xlfn._xlws.FILTER(F:F, (F:F&lt;&gt;"0")*(F:F&lt;&gt;0)), ""),F100)</f>
        <v>Electronics</v>
      </c>
    </row>
    <row r="101" spans="1:32" x14ac:dyDescent="0.3">
      <c r="A101">
        <v>199</v>
      </c>
      <c r="B101" t="s">
        <v>247</v>
      </c>
      <c r="C101" t="s">
        <v>248</v>
      </c>
      <c r="D101" s="1">
        <v>45679</v>
      </c>
      <c r="E101" t="s">
        <v>13</v>
      </c>
      <c r="F101" t="s">
        <v>14</v>
      </c>
      <c r="G101" s="6">
        <f t="shared" si="17"/>
        <v>5</v>
      </c>
      <c r="H101" s="2">
        <v>372.28</v>
      </c>
      <c r="I101" t="s">
        <v>48</v>
      </c>
      <c r="J101" t="s">
        <v>16</v>
      </c>
      <c r="K101" s="2">
        <v>1861.3999999999999</v>
      </c>
      <c r="L101" s="2"/>
      <c r="M101" s="2"/>
      <c r="N101"/>
      <c r="O101" s="5">
        <v>22</v>
      </c>
      <c r="P101">
        <v>1</v>
      </c>
      <c r="Q101">
        <v>2025</v>
      </c>
      <c r="R101" s="1">
        <f t="shared" si="31"/>
        <v>45679</v>
      </c>
      <c r="T101">
        <v>5</v>
      </c>
      <c r="U101">
        <f t="shared" si="30"/>
        <v>5</v>
      </c>
      <c r="V101">
        <f t="shared" si="22"/>
        <v>5</v>
      </c>
      <c r="W101">
        <f t="shared" si="23"/>
        <v>5</v>
      </c>
      <c r="X101">
        <f t="shared" si="24"/>
        <v>5</v>
      </c>
      <c r="Z101" s="6">
        <f t="shared" si="25"/>
        <v>5</v>
      </c>
      <c r="AA101">
        <f t="shared" si="19"/>
        <v>372.28</v>
      </c>
      <c r="AB101" s="2">
        <f t="shared" si="26"/>
        <v>372.28</v>
      </c>
      <c r="AC101" s="2">
        <f t="shared" si="20"/>
        <v>1861.3999999999999</v>
      </c>
      <c r="AD101" t="str">
        <f t="shared" si="21"/>
        <v>Home</v>
      </c>
      <c r="AE101" t="str">
        <f t="shared" si="27"/>
        <v>Home</v>
      </c>
      <c r="AF101" t="str" cm="1">
        <f t="array" ref="AF101">IF(OR(F101=0,F101="0"),   _xlfn.XLOOKUP(E101, _xlfn._xlws.FILTER(E:E, (F:F&lt;&gt;"0")*(F:F&lt;&gt;0)), _xlfn._xlws.FILTER(F:F, (F:F&lt;&gt;"0")*(F:F&lt;&gt;0)), ""),F101)</f>
        <v>Home</v>
      </c>
    </row>
    <row r="102" spans="1:32" x14ac:dyDescent="0.3">
      <c r="I102"/>
      <c r="N102"/>
    </row>
    <row r="103" spans="1:32" x14ac:dyDescent="0.3">
      <c r="I103"/>
      <c r="N103"/>
    </row>
    <row r="104" spans="1:32" x14ac:dyDescent="0.3">
      <c r="I104"/>
      <c r="N104"/>
    </row>
  </sheetData>
  <sortState xmlns:xlrd2="http://schemas.microsoft.com/office/spreadsheetml/2017/richdata2" ref="B3:K103">
    <sortCondition ref="B2:B103"/>
  </sortState>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3EEBD6-4EC0-4220-8209-94B68779A912}">
  <dimension ref="A1:T41"/>
  <sheetViews>
    <sheetView zoomScaleNormal="100" workbookViewId="0">
      <selection activeCell="A151" sqref="A151"/>
    </sheetView>
  </sheetViews>
  <sheetFormatPr defaultRowHeight="14.4" x14ac:dyDescent="0.3"/>
  <cols>
    <col min="1" max="1" width="10.77734375" bestFit="1" customWidth="1"/>
    <col min="2" max="2" width="11.6640625" bestFit="1" customWidth="1"/>
    <col min="3" max="3" width="15.109375" bestFit="1" customWidth="1"/>
    <col min="4" max="7" width="10.5546875" bestFit="1" customWidth="1"/>
    <col min="8" max="9" width="12.109375" bestFit="1" customWidth="1"/>
    <col min="10" max="10" width="12.21875" bestFit="1" customWidth="1"/>
    <col min="11" max="11" width="12.109375" bestFit="1" customWidth="1"/>
    <col min="12" max="13" width="16.44140625" bestFit="1" customWidth="1"/>
    <col min="15" max="16" width="12.109375" bestFit="1" customWidth="1"/>
    <col min="18" max="18" width="14.5546875" bestFit="1" customWidth="1"/>
    <col min="19" max="19" width="12.109375" bestFit="1" customWidth="1"/>
    <col min="20" max="20" width="6.109375" bestFit="1" customWidth="1"/>
  </cols>
  <sheetData>
    <row r="1" spans="1:20" x14ac:dyDescent="0.3">
      <c r="G1" s="17" t="s">
        <v>259</v>
      </c>
      <c r="H1" s="17"/>
      <c r="I1" s="17"/>
    </row>
    <row r="2" spans="1:20" x14ac:dyDescent="0.3">
      <c r="A2" s="17" t="s">
        <v>255</v>
      </c>
      <c r="B2" s="17"/>
      <c r="C2" s="11"/>
      <c r="G2" s="7" t="s">
        <v>9</v>
      </c>
      <c r="H2" t="s">
        <v>257</v>
      </c>
      <c r="K2" s="17" t="s">
        <v>263</v>
      </c>
      <c r="L2" s="17"/>
      <c r="M2" s="17"/>
      <c r="O2" s="17" t="s">
        <v>264</v>
      </c>
      <c r="P2" s="17"/>
      <c r="R2" s="17" t="s">
        <v>266</v>
      </c>
      <c r="S2" s="17"/>
      <c r="T2" s="17"/>
    </row>
    <row r="3" spans="1:20" x14ac:dyDescent="0.3">
      <c r="A3" s="7" t="s">
        <v>258</v>
      </c>
      <c r="B3" t="s">
        <v>252</v>
      </c>
      <c r="D3" s="7" t="s">
        <v>249</v>
      </c>
      <c r="E3" t="s">
        <v>251</v>
      </c>
      <c r="G3" s="8" t="s">
        <v>37</v>
      </c>
      <c r="H3" s="2">
        <v>31159.337802197802</v>
      </c>
      <c r="K3" s="7" t="s">
        <v>249</v>
      </c>
      <c r="L3" t="s">
        <v>252</v>
      </c>
      <c r="O3" s="7" t="s">
        <v>249</v>
      </c>
      <c r="P3" t="s">
        <v>251</v>
      </c>
      <c r="R3" s="7" t="s">
        <v>265</v>
      </c>
      <c r="S3" t="s">
        <v>257</v>
      </c>
      <c r="T3" t="s">
        <v>256</v>
      </c>
    </row>
    <row r="4" spans="1:20" x14ac:dyDescent="0.3">
      <c r="A4" s="8" t="s">
        <v>31</v>
      </c>
      <c r="B4">
        <v>23</v>
      </c>
      <c r="D4" s="8" t="s">
        <v>31</v>
      </c>
      <c r="E4" s="2">
        <v>43180.9589010989</v>
      </c>
      <c r="G4" s="8" t="s">
        <v>27</v>
      </c>
      <c r="H4" s="2">
        <v>16782.162813888241</v>
      </c>
      <c r="K4" s="8" t="s">
        <v>253</v>
      </c>
      <c r="L4">
        <v>81</v>
      </c>
      <c r="O4" s="8" t="s">
        <v>51</v>
      </c>
      <c r="P4" s="2">
        <v>12376.371560673368</v>
      </c>
      <c r="R4" s="8" t="s">
        <v>40</v>
      </c>
      <c r="S4" s="2">
        <v>47107.71582300678</v>
      </c>
      <c r="T4">
        <v>22</v>
      </c>
    </row>
    <row r="5" spans="1:20" x14ac:dyDescent="0.3">
      <c r="A5" s="8" t="s">
        <v>58</v>
      </c>
      <c r="B5">
        <v>16</v>
      </c>
      <c r="D5" s="8" t="s">
        <v>58</v>
      </c>
      <c r="E5" s="2">
        <v>34394.842397708671</v>
      </c>
      <c r="G5" s="8" t="s">
        <v>22</v>
      </c>
      <c r="H5" s="2">
        <v>55051.503773673132</v>
      </c>
      <c r="K5" s="10" t="s">
        <v>276</v>
      </c>
      <c r="L5">
        <v>5</v>
      </c>
      <c r="O5" s="8" t="s">
        <v>34</v>
      </c>
      <c r="P5" s="2">
        <v>9577.39</v>
      </c>
      <c r="R5" s="8" t="s">
        <v>15</v>
      </c>
      <c r="S5" s="2">
        <v>74850.325093523497</v>
      </c>
      <c r="T5">
        <v>33</v>
      </c>
    </row>
    <row r="6" spans="1:20" x14ac:dyDescent="0.3">
      <c r="A6" s="8" t="s">
        <v>20</v>
      </c>
      <c r="B6">
        <v>23</v>
      </c>
      <c r="D6" s="8" t="s">
        <v>20</v>
      </c>
      <c r="E6" s="2">
        <v>44177.229560439555</v>
      </c>
      <c r="G6" s="8" t="s">
        <v>43</v>
      </c>
      <c r="H6" s="2">
        <v>44017.603262801022</v>
      </c>
      <c r="K6" s="10" t="s">
        <v>270</v>
      </c>
      <c r="L6">
        <v>13</v>
      </c>
      <c r="O6" s="8" t="s">
        <v>13</v>
      </c>
      <c r="P6" s="2">
        <v>31084.146702127659</v>
      </c>
      <c r="R6" s="8" t="s">
        <v>48</v>
      </c>
      <c r="S6" s="2">
        <v>25672.704361702126</v>
      </c>
      <c r="T6">
        <v>21</v>
      </c>
    </row>
    <row r="7" spans="1:20" x14ac:dyDescent="0.3">
      <c r="A7" s="8" t="s">
        <v>14</v>
      </c>
      <c r="B7">
        <v>20</v>
      </c>
      <c r="D7" s="8" t="s">
        <v>14</v>
      </c>
      <c r="E7" s="2">
        <v>34000.058636895017</v>
      </c>
      <c r="G7" s="8" t="s">
        <v>16</v>
      </c>
      <c r="H7" s="2">
        <v>36067.073390226789</v>
      </c>
      <c r="K7" s="10" t="s">
        <v>277</v>
      </c>
      <c r="L7">
        <v>5</v>
      </c>
      <c r="O7" s="8" t="s">
        <v>54</v>
      </c>
      <c r="P7" s="2">
        <v>17836.288901098898</v>
      </c>
      <c r="R7" s="8" t="s">
        <v>21</v>
      </c>
      <c r="S7" s="2">
        <v>35446.935764554604</v>
      </c>
      <c r="T7">
        <v>24</v>
      </c>
    </row>
    <row r="8" spans="1:20" x14ac:dyDescent="0.3">
      <c r="A8" s="8" t="s">
        <v>26</v>
      </c>
      <c r="B8">
        <v>18</v>
      </c>
      <c r="D8" s="8" t="s">
        <v>26</v>
      </c>
      <c r="E8" s="2">
        <v>27324.591546644846</v>
      </c>
      <c r="G8" s="8" t="s">
        <v>250</v>
      </c>
      <c r="H8" s="2">
        <v>183077.68104278698</v>
      </c>
      <c r="K8" s="10" t="s">
        <v>278</v>
      </c>
      <c r="L8">
        <v>2</v>
      </c>
      <c r="O8" s="8" t="s">
        <v>61</v>
      </c>
      <c r="P8" s="2">
        <v>7761.57</v>
      </c>
      <c r="R8" s="8" t="s">
        <v>250</v>
      </c>
      <c r="S8" s="2">
        <v>183077.68104278704</v>
      </c>
      <c r="T8">
        <v>100</v>
      </c>
    </row>
    <row r="9" spans="1:20" x14ac:dyDescent="0.3">
      <c r="A9" s="8" t="s">
        <v>250</v>
      </c>
      <c r="B9">
        <v>100</v>
      </c>
      <c r="D9" s="8" t="s">
        <v>250</v>
      </c>
      <c r="E9" s="2">
        <v>183077.68104278701</v>
      </c>
      <c r="K9" s="10" t="s">
        <v>260</v>
      </c>
      <c r="L9">
        <v>9</v>
      </c>
      <c r="O9" s="8" t="s">
        <v>96</v>
      </c>
      <c r="P9" s="2">
        <v>14306.440000000002</v>
      </c>
    </row>
    <row r="10" spans="1:20" x14ac:dyDescent="0.3">
      <c r="K10" s="10" t="s">
        <v>261</v>
      </c>
      <c r="L10">
        <v>9</v>
      </c>
      <c r="O10" s="8" t="s">
        <v>30</v>
      </c>
      <c r="P10" s="2">
        <v>8005.71</v>
      </c>
    </row>
    <row r="11" spans="1:20" x14ac:dyDescent="0.3">
      <c r="K11" s="10" t="s">
        <v>271</v>
      </c>
      <c r="L11">
        <v>13</v>
      </c>
      <c r="O11" s="8" t="s">
        <v>57</v>
      </c>
      <c r="P11" s="2">
        <v>17836.318901098901</v>
      </c>
    </row>
    <row r="12" spans="1:20" x14ac:dyDescent="0.3">
      <c r="K12" s="10" t="s">
        <v>272</v>
      </c>
      <c r="L12">
        <v>7</v>
      </c>
      <c r="O12" s="8" t="s">
        <v>109</v>
      </c>
      <c r="P12" s="2">
        <v>8230.26</v>
      </c>
    </row>
    <row r="13" spans="1:20" x14ac:dyDescent="0.3">
      <c r="K13" s="10" t="s">
        <v>273</v>
      </c>
      <c r="L13">
        <v>5</v>
      </c>
      <c r="O13" s="8" t="s">
        <v>85</v>
      </c>
      <c r="P13" s="2">
        <v>7537.5828138882389</v>
      </c>
    </row>
    <row r="14" spans="1:20" x14ac:dyDescent="0.3">
      <c r="K14" s="10" t="s">
        <v>274</v>
      </c>
      <c r="L14">
        <v>11</v>
      </c>
      <c r="O14" s="8" t="s">
        <v>250</v>
      </c>
      <c r="P14" s="2">
        <v>134552.07887888709</v>
      </c>
    </row>
    <row r="15" spans="1:20" x14ac:dyDescent="0.3">
      <c r="K15" s="10" t="s">
        <v>262</v>
      </c>
      <c r="L15">
        <v>2</v>
      </c>
    </row>
    <row r="16" spans="1:20" x14ac:dyDescent="0.3">
      <c r="K16" s="8" t="s">
        <v>250</v>
      </c>
      <c r="L16">
        <v>81</v>
      </c>
    </row>
    <row r="18" spans="2:13" x14ac:dyDescent="0.3">
      <c r="J18" s="7" t="s">
        <v>5</v>
      </c>
      <c r="K18" t="s">
        <v>275</v>
      </c>
      <c r="L18" s="17" t="s">
        <v>268</v>
      </c>
      <c r="M18" s="17"/>
    </row>
    <row r="19" spans="2:13" x14ac:dyDescent="0.3">
      <c r="B19" s="9" t="s">
        <v>267</v>
      </c>
      <c r="C19" s="9"/>
      <c r="D19" s="9"/>
      <c r="E19" s="9"/>
      <c r="F19" s="9"/>
      <c r="G19" s="9"/>
      <c r="H19" s="9"/>
    </row>
    <row r="20" spans="2:13" x14ac:dyDescent="0.3">
      <c r="B20" s="7" t="s">
        <v>251</v>
      </c>
      <c r="C20" s="7" t="s">
        <v>254</v>
      </c>
      <c r="J20" s="7" t="s">
        <v>269</v>
      </c>
      <c r="K20" t="s">
        <v>257</v>
      </c>
    </row>
    <row r="21" spans="2:13" x14ac:dyDescent="0.3">
      <c r="B21" s="7" t="s">
        <v>258</v>
      </c>
      <c r="C21" t="s">
        <v>37</v>
      </c>
      <c r="D21" t="s">
        <v>27</v>
      </c>
      <c r="E21" t="s">
        <v>22</v>
      </c>
      <c r="F21" t="s">
        <v>43</v>
      </c>
      <c r="G21" t="s">
        <v>16</v>
      </c>
      <c r="H21" t="s">
        <v>250</v>
      </c>
      <c r="J21" s="8" t="s">
        <v>51</v>
      </c>
      <c r="K21" s="2">
        <v>12376.371560673368</v>
      </c>
    </row>
    <row r="22" spans="2:13" x14ac:dyDescent="0.3">
      <c r="B22" s="8" t="s">
        <v>31</v>
      </c>
      <c r="C22" s="2">
        <v>7872.5289010989</v>
      </c>
      <c r="D22" s="2"/>
      <c r="E22" s="2">
        <v>4887.6299999999992</v>
      </c>
      <c r="F22" s="2">
        <v>22151.96</v>
      </c>
      <c r="G22" s="2">
        <v>8268.84</v>
      </c>
      <c r="H22" s="2">
        <v>43180.9589010989</v>
      </c>
      <c r="J22" s="8" t="s">
        <v>34</v>
      </c>
      <c r="K22" s="2">
        <v>9577.39</v>
      </c>
    </row>
    <row r="23" spans="2:13" x14ac:dyDescent="0.3">
      <c r="B23" s="8" t="s">
        <v>58</v>
      </c>
      <c r="C23" s="2">
        <v>7481.05</v>
      </c>
      <c r="D23" s="2">
        <v>3894.7799999999997</v>
      </c>
      <c r="E23" s="2">
        <v>9432.75</v>
      </c>
      <c r="F23" s="2">
        <v>3774.6528372691132</v>
      </c>
      <c r="G23" s="2">
        <v>9811.6095604395596</v>
      </c>
      <c r="H23" s="2">
        <v>34394.842397708679</v>
      </c>
      <c r="J23" s="8" t="s">
        <v>13</v>
      </c>
      <c r="K23" s="2">
        <v>31084.146702127659</v>
      </c>
    </row>
    <row r="24" spans="2:13" x14ac:dyDescent="0.3">
      <c r="B24" s="8" t="s">
        <v>20</v>
      </c>
      <c r="C24" s="2">
        <v>6761.73</v>
      </c>
      <c r="D24" s="2">
        <v>4024.82</v>
      </c>
      <c r="E24" s="2">
        <v>23602.019560439559</v>
      </c>
      <c r="F24" s="2">
        <v>5190.26</v>
      </c>
      <c r="G24" s="2">
        <v>4598.3999999999996</v>
      </c>
      <c r="H24" s="2">
        <v>44177.229560439562</v>
      </c>
      <c r="J24" s="8" t="s">
        <v>54</v>
      </c>
      <c r="K24" s="2">
        <v>17836.288901098898</v>
      </c>
    </row>
    <row r="25" spans="2:13" x14ac:dyDescent="0.3">
      <c r="B25" s="8" t="s">
        <v>14</v>
      </c>
      <c r="C25" s="2">
        <v>4108.3599999999997</v>
      </c>
      <c r="D25" s="2">
        <v>3775.462813888239</v>
      </c>
      <c r="E25" s="2">
        <v>6946.3158230067793</v>
      </c>
      <c r="F25" s="2">
        <v>8228.33</v>
      </c>
      <c r="G25" s="2">
        <v>10941.589999999998</v>
      </c>
      <c r="H25" s="2">
        <v>34000.058636895017</v>
      </c>
      <c r="J25" s="8" t="s">
        <v>61</v>
      </c>
      <c r="K25" s="2">
        <v>7761.57</v>
      </c>
    </row>
    <row r="26" spans="2:13" x14ac:dyDescent="0.3">
      <c r="B26" s="8" t="s">
        <v>26</v>
      </c>
      <c r="C26" s="2">
        <v>4935.6689010989003</v>
      </c>
      <c r="D26" s="2">
        <v>5087.1000000000004</v>
      </c>
      <c r="E26" s="2">
        <v>10182.788390226795</v>
      </c>
      <c r="F26" s="2">
        <v>4672.4004255319151</v>
      </c>
      <c r="G26" s="2">
        <v>2446.6338297872339</v>
      </c>
      <c r="H26" s="2">
        <v>27324.59154664485</v>
      </c>
      <c r="J26" s="8" t="s">
        <v>132</v>
      </c>
      <c r="K26" s="2">
        <v>5707.1900000000005</v>
      </c>
    </row>
    <row r="27" spans="2:13" x14ac:dyDescent="0.3">
      <c r="B27" s="8" t="s">
        <v>250</v>
      </c>
      <c r="C27" s="2">
        <v>31159.337802197799</v>
      </c>
      <c r="D27" s="2">
        <v>16782.162813888237</v>
      </c>
      <c r="E27" s="2">
        <v>55051.503773673132</v>
      </c>
      <c r="F27" s="2">
        <v>44017.603262801029</v>
      </c>
      <c r="G27" s="2">
        <v>36067.073390226789</v>
      </c>
      <c r="H27" s="2">
        <v>183077.68104278704</v>
      </c>
      <c r="J27" s="8" t="s">
        <v>115</v>
      </c>
      <c r="K27" s="2">
        <v>808.07</v>
      </c>
    </row>
    <row r="28" spans="2:13" x14ac:dyDescent="0.3">
      <c r="J28" s="8" t="s">
        <v>140</v>
      </c>
      <c r="K28" s="2">
        <v>4111.0539361702131</v>
      </c>
    </row>
    <row r="29" spans="2:13" x14ac:dyDescent="0.3">
      <c r="J29" s="8" t="s">
        <v>160</v>
      </c>
      <c r="K29" s="2">
        <v>5355.9695604395602</v>
      </c>
    </row>
    <row r="30" spans="2:13" x14ac:dyDescent="0.3">
      <c r="J30" s="8" t="s">
        <v>96</v>
      </c>
      <c r="K30" s="2">
        <v>14306.440000000002</v>
      </c>
    </row>
    <row r="31" spans="2:13" x14ac:dyDescent="0.3">
      <c r="J31" s="8" t="s">
        <v>135</v>
      </c>
      <c r="K31" s="2">
        <v>2993.5600000000004</v>
      </c>
    </row>
    <row r="32" spans="2:13" x14ac:dyDescent="0.3">
      <c r="J32" s="8" t="s">
        <v>69</v>
      </c>
      <c r="K32" s="2">
        <v>7359.6291208791199</v>
      </c>
    </row>
    <row r="33" spans="10:11" x14ac:dyDescent="0.3">
      <c r="J33" s="8" t="s">
        <v>30</v>
      </c>
      <c r="K33" s="2">
        <v>8005.71</v>
      </c>
    </row>
    <row r="34" spans="10:11" x14ac:dyDescent="0.3">
      <c r="J34" s="8" t="s">
        <v>57</v>
      </c>
      <c r="K34" s="2">
        <v>17836.318901098901</v>
      </c>
    </row>
    <row r="35" spans="10:11" x14ac:dyDescent="0.3">
      <c r="J35" s="8" t="s">
        <v>19</v>
      </c>
      <c r="K35" s="2">
        <v>6347.4395604395613</v>
      </c>
    </row>
    <row r="36" spans="10:11" x14ac:dyDescent="0.3">
      <c r="J36" s="8" t="s">
        <v>112</v>
      </c>
      <c r="K36" s="2">
        <v>3424.12</v>
      </c>
    </row>
    <row r="37" spans="10:11" x14ac:dyDescent="0.3">
      <c r="J37" s="8" t="s">
        <v>25</v>
      </c>
      <c r="K37" s="2">
        <v>6724.069985971475</v>
      </c>
    </row>
    <row r="38" spans="10:11" x14ac:dyDescent="0.3">
      <c r="J38" s="8" t="s">
        <v>109</v>
      </c>
      <c r="K38" s="2">
        <v>8230.26</v>
      </c>
    </row>
    <row r="39" spans="10:11" x14ac:dyDescent="0.3">
      <c r="J39" s="8" t="s">
        <v>85</v>
      </c>
      <c r="K39" s="2">
        <v>7537.5828138882389</v>
      </c>
    </row>
    <row r="40" spans="10:11" x14ac:dyDescent="0.3">
      <c r="J40" s="8" t="s">
        <v>78</v>
      </c>
      <c r="K40" s="2">
        <v>5694.5</v>
      </c>
    </row>
    <row r="41" spans="10:11" x14ac:dyDescent="0.3">
      <c r="J41" s="8" t="s">
        <v>250</v>
      </c>
      <c r="K41" s="2">
        <v>183077.68104278698</v>
      </c>
    </row>
  </sheetData>
  <mergeCells count="6">
    <mergeCell ref="R2:T2"/>
    <mergeCell ref="L18:M18"/>
    <mergeCell ref="A2:B2"/>
    <mergeCell ref="G1:I1"/>
    <mergeCell ref="K2:M2"/>
    <mergeCell ref="O2:P2"/>
  </mergeCells>
  <pageMargins left="0.7" right="0.7" top="0.75" bottom="0.75" header="0.3" footer="0.3"/>
  <drawing r:id="rId9"/>
  <extLst>
    <ext xmlns:x14="http://schemas.microsoft.com/office/spreadsheetml/2009/9/main" uri="{A8765BA9-456A-4dab-B4F3-ACF838C121DE}">
      <x14:slicerList>
        <x14:slicer r:id="rId10"/>
      </x14:slicerList>
    </ext>
    <ext xmlns:x15="http://schemas.microsoft.com/office/spreadsheetml/2010/11/main" uri="{7E03D99C-DC04-49d9-9315-930204A7B6E9}">
      <x15:timelineRefs>
        <x15:timelineRef r:id="rId11"/>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774504-6682-434A-977A-11C64B3742E7}">
  <dimension ref="A1:BH94"/>
  <sheetViews>
    <sheetView tabSelected="1" zoomScale="88" zoomScaleNormal="100" workbookViewId="0">
      <selection activeCell="AE11" sqref="AE11"/>
    </sheetView>
  </sheetViews>
  <sheetFormatPr defaultColWidth="8.88671875" defaultRowHeight="14.4" x14ac:dyDescent="0.3"/>
  <cols>
    <col min="1" max="16384" width="8.88671875" style="12"/>
  </cols>
  <sheetData>
    <row r="1" spans="1:60" s="13" customFormat="1" x14ac:dyDescent="0.3">
      <c r="A1" s="16"/>
      <c r="B1" s="16"/>
      <c r="C1" s="16"/>
      <c r="D1" s="16"/>
      <c r="E1" s="16"/>
      <c r="F1" s="16"/>
      <c r="G1" s="16"/>
      <c r="H1" s="16"/>
      <c r="I1" s="16"/>
      <c r="J1" s="16"/>
      <c r="K1" s="16"/>
      <c r="L1" s="16"/>
      <c r="M1" s="16"/>
      <c r="N1" s="16"/>
      <c r="O1" s="16"/>
      <c r="P1" s="16"/>
      <c r="Q1" s="16"/>
      <c r="R1" s="16"/>
      <c r="S1" s="16"/>
      <c r="T1" s="16"/>
      <c r="U1" s="16"/>
      <c r="V1" s="16"/>
      <c r="W1" s="16"/>
      <c r="X1" s="16"/>
      <c r="Y1" s="16"/>
      <c r="Z1" s="16"/>
      <c r="AA1" s="16"/>
      <c r="AB1" s="16"/>
      <c r="AC1" s="16"/>
      <c r="AD1" s="16"/>
      <c r="AE1" s="16"/>
      <c r="AF1" s="16"/>
      <c r="AG1" s="16"/>
      <c r="AH1" s="16"/>
      <c r="AI1" s="16"/>
      <c r="AJ1" s="16"/>
      <c r="AK1" s="16"/>
      <c r="AL1" s="16"/>
      <c r="AM1" s="16"/>
    </row>
    <row r="2" spans="1:60" s="13" customFormat="1" x14ac:dyDescent="0.3">
      <c r="A2" s="16"/>
      <c r="B2" s="16"/>
      <c r="C2" s="16"/>
      <c r="D2" s="16"/>
      <c r="E2" s="16"/>
      <c r="F2" s="16"/>
      <c r="G2" s="16"/>
      <c r="H2" s="16"/>
      <c r="I2" s="16"/>
      <c r="J2" s="16"/>
      <c r="K2" s="16"/>
      <c r="L2" s="16"/>
      <c r="M2" s="16"/>
      <c r="N2" s="16"/>
      <c r="O2" s="16"/>
      <c r="P2" s="16"/>
      <c r="Q2" s="16"/>
      <c r="R2" s="16"/>
      <c r="S2" s="16"/>
      <c r="T2" s="16"/>
      <c r="U2" s="16"/>
      <c r="V2" s="16"/>
      <c r="W2" s="16"/>
      <c r="X2" s="16"/>
      <c r="Y2" s="16"/>
      <c r="Z2" s="16"/>
      <c r="AA2" s="16"/>
      <c r="AB2" s="16"/>
      <c r="AC2" s="16"/>
      <c r="AD2" s="16"/>
      <c r="AE2" s="16"/>
      <c r="AF2" s="16"/>
      <c r="AG2" s="16"/>
      <c r="AH2" s="16"/>
      <c r="AI2" s="16"/>
      <c r="AJ2" s="16"/>
      <c r="AK2" s="16"/>
      <c r="AL2" s="16"/>
      <c r="AM2" s="16"/>
    </row>
    <row r="3" spans="1:60" s="13" customFormat="1" x14ac:dyDescent="0.3">
      <c r="A3" s="16"/>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16"/>
      <c r="AH3" s="16"/>
      <c r="AI3" s="16"/>
      <c r="AJ3" s="16"/>
      <c r="AK3" s="16"/>
      <c r="AL3" s="16"/>
      <c r="AM3" s="16"/>
    </row>
    <row r="4" spans="1:60" x14ac:dyDescent="0.3">
      <c r="A4" s="14"/>
      <c r="B4" s="14"/>
      <c r="C4" s="14"/>
      <c r="D4" s="14"/>
      <c r="E4" s="14"/>
      <c r="F4" s="14"/>
      <c r="G4" s="14"/>
      <c r="H4" s="14"/>
      <c r="I4" s="14"/>
      <c r="J4" s="14"/>
      <c r="K4" s="14"/>
      <c r="L4" s="14"/>
      <c r="M4" s="14"/>
      <c r="N4" s="14"/>
      <c r="O4" s="14"/>
      <c r="P4" s="14"/>
      <c r="Q4" s="14"/>
      <c r="R4" s="14"/>
      <c r="S4" s="14"/>
      <c r="T4" s="14"/>
      <c r="U4" s="14"/>
      <c r="V4" s="14"/>
      <c r="W4" s="14"/>
      <c r="X4" s="14"/>
      <c r="Y4" s="14"/>
      <c r="Z4" s="14"/>
      <c r="AA4" s="14"/>
      <c r="AB4" s="13"/>
      <c r="AC4" s="13"/>
      <c r="AD4" s="13"/>
      <c r="AE4" s="13"/>
      <c r="AF4" s="13"/>
      <c r="AG4" s="13"/>
      <c r="AH4" s="13"/>
      <c r="AI4" s="13"/>
      <c r="AJ4" s="13"/>
      <c r="AK4" s="13"/>
      <c r="AL4" s="13"/>
      <c r="AM4" s="13"/>
      <c r="AN4" s="13"/>
      <c r="AO4" s="13"/>
      <c r="AP4" s="13"/>
      <c r="AQ4" s="13"/>
      <c r="AR4" s="13"/>
      <c r="AS4" s="13"/>
      <c r="AT4" s="13"/>
      <c r="AU4" s="13"/>
      <c r="AV4" s="13"/>
      <c r="AW4" s="13"/>
      <c r="AX4" s="13"/>
      <c r="AY4" s="13"/>
      <c r="AZ4" s="13"/>
      <c r="BA4" s="13"/>
      <c r="BB4" s="13"/>
      <c r="BC4" s="13"/>
      <c r="BD4" s="13"/>
      <c r="BE4" s="13"/>
      <c r="BF4" s="13"/>
      <c r="BG4" s="13"/>
      <c r="BH4" s="13"/>
    </row>
    <row r="5" spans="1:60" x14ac:dyDescent="0.3">
      <c r="A5" s="14"/>
      <c r="B5" s="14"/>
      <c r="C5" s="14"/>
      <c r="D5" s="14"/>
      <c r="E5" s="14"/>
      <c r="F5" s="14"/>
      <c r="G5" s="14"/>
      <c r="H5" s="14"/>
      <c r="I5" s="14"/>
      <c r="J5" s="14"/>
      <c r="K5" s="14"/>
      <c r="L5" s="14"/>
      <c r="M5" s="14"/>
      <c r="N5" s="14"/>
      <c r="O5" s="14"/>
      <c r="P5" s="14"/>
      <c r="Q5" s="14"/>
      <c r="R5" s="14"/>
      <c r="S5" s="14"/>
      <c r="T5" s="14"/>
      <c r="U5" s="14"/>
      <c r="V5" s="14"/>
      <c r="W5" s="14"/>
      <c r="X5" s="14"/>
      <c r="Y5" s="14"/>
      <c r="Z5" s="14"/>
      <c r="AA5" s="14"/>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13"/>
      <c r="BE5" s="13"/>
      <c r="BF5" s="13"/>
      <c r="BG5" s="13"/>
      <c r="BH5" s="13"/>
    </row>
    <row r="6" spans="1:60" x14ac:dyDescent="0.3">
      <c r="A6" s="14"/>
      <c r="B6" s="14"/>
      <c r="C6" s="14"/>
      <c r="D6" s="14"/>
      <c r="E6" s="14"/>
      <c r="F6" s="14"/>
      <c r="G6" s="14"/>
      <c r="H6" s="14"/>
      <c r="I6" s="14"/>
      <c r="J6" s="14"/>
      <c r="K6" s="14"/>
      <c r="L6" s="14"/>
      <c r="M6" s="14"/>
      <c r="N6" s="14"/>
      <c r="O6" s="14"/>
      <c r="P6" s="14"/>
      <c r="Q6" s="14"/>
      <c r="R6" s="14"/>
      <c r="S6" s="14"/>
      <c r="T6" s="14"/>
      <c r="U6" s="14"/>
      <c r="V6" s="14"/>
      <c r="W6" s="14"/>
      <c r="X6" s="14"/>
      <c r="Y6" s="14"/>
      <c r="Z6" s="14"/>
      <c r="AA6" s="14"/>
      <c r="AB6" s="13"/>
      <c r="AC6" s="13"/>
      <c r="AD6" s="13"/>
      <c r="AE6" s="13"/>
      <c r="AF6" s="13"/>
      <c r="AG6" s="13"/>
      <c r="AH6" s="13"/>
      <c r="AI6" s="13"/>
      <c r="AJ6" s="13"/>
      <c r="AK6" s="13"/>
      <c r="AL6" s="13"/>
      <c r="AM6" s="13"/>
      <c r="AN6" s="13"/>
      <c r="AO6" s="13"/>
      <c r="AP6" s="13"/>
      <c r="AQ6" s="13"/>
      <c r="AR6" s="13"/>
      <c r="AS6" s="13"/>
      <c r="AT6" s="13"/>
      <c r="AU6" s="13"/>
      <c r="AV6" s="13"/>
      <c r="AW6" s="13"/>
      <c r="AX6" s="13"/>
      <c r="AY6" s="13"/>
      <c r="AZ6" s="13"/>
      <c r="BA6" s="13"/>
      <c r="BB6" s="13"/>
      <c r="BC6" s="13"/>
      <c r="BD6" s="13"/>
      <c r="BE6" s="13"/>
      <c r="BF6" s="13"/>
      <c r="BG6" s="13"/>
      <c r="BH6" s="13"/>
    </row>
    <row r="7" spans="1:60" x14ac:dyDescent="0.3">
      <c r="A7" s="14"/>
      <c r="B7" s="14"/>
      <c r="C7" s="14"/>
      <c r="D7" s="14"/>
      <c r="E7" s="14"/>
      <c r="F7" s="14"/>
      <c r="G7" s="14"/>
      <c r="H7" s="14"/>
      <c r="I7" s="14"/>
      <c r="J7" s="14"/>
      <c r="K7" s="14"/>
      <c r="L7" s="14"/>
      <c r="M7" s="14"/>
      <c r="N7" s="14"/>
      <c r="O7" s="14"/>
      <c r="P7" s="14"/>
      <c r="Q7" s="14"/>
      <c r="R7" s="14"/>
      <c r="S7" s="14"/>
      <c r="T7" s="14"/>
      <c r="U7" s="14"/>
      <c r="V7" s="14"/>
      <c r="W7" s="14"/>
      <c r="X7" s="14"/>
      <c r="Y7" s="14"/>
      <c r="Z7" s="14"/>
      <c r="AA7" s="14"/>
      <c r="AB7" s="13"/>
      <c r="AC7" s="13"/>
      <c r="AD7" s="13"/>
      <c r="AE7" s="13"/>
      <c r="AF7" s="13"/>
      <c r="AG7" s="13"/>
      <c r="AH7" s="13"/>
      <c r="AI7" s="13"/>
      <c r="AJ7" s="13"/>
      <c r="AK7" s="13"/>
      <c r="AL7" s="13"/>
      <c r="AM7" s="13"/>
      <c r="AN7" s="13"/>
      <c r="AO7" s="13"/>
      <c r="AP7" s="13"/>
      <c r="AQ7" s="13"/>
      <c r="AR7" s="13"/>
      <c r="AS7" s="13"/>
      <c r="AT7" s="13"/>
      <c r="AU7" s="13"/>
      <c r="AV7" s="13"/>
      <c r="AW7" s="13"/>
      <c r="AX7" s="13"/>
      <c r="AY7" s="13"/>
      <c r="AZ7" s="13"/>
      <c r="BA7" s="13"/>
      <c r="BB7" s="13"/>
      <c r="BC7" s="13"/>
      <c r="BD7" s="13"/>
      <c r="BE7" s="13"/>
      <c r="BF7" s="13"/>
      <c r="BG7" s="13"/>
      <c r="BH7" s="13"/>
    </row>
    <row r="8" spans="1:60" x14ac:dyDescent="0.3">
      <c r="A8" s="14"/>
      <c r="B8" s="14"/>
      <c r="C8" s="14"/>
      <c r="D8" s="14"/>
      <c r="E8" s="14"/>
      <c r="F8" s="14"/>
      <c r="G8" s="14"/>
      <c r="H8" s="14"/>
      <c r="I8" s="14"/>
      <c r="J8" s="14"/>
      <c r="K8" s="14"/>
      <c r="L8" s="14"/>
      <c r="M8" s="14"/>
      <c r="N8" s="14"/>
      <c r="O8" s="14"/>
      <c r="P8" s="14"/>
      <c r="Q8" s="14"/>
      <c r="R8" s="14"/>
      <c r="S8" s="14"/>
      <c r="T8" s="14"/>
      <c r="U8" s="14"/>
      <c r="V8" s="14"/>
      <c r="W8" s="14"/>
      <c r="X8" s="14"/>
      <c r="Y8" s="14"/>
      <c r="Z8" s="14"/>
      <c r="AA8" s="14"/>
      <c r="AB8" s="13"/>
      <c r="AC8" s="13"/>
      <c r="AD8" s="13"/>
      <c r="AE8" s="13"/>
      <c r="AF8" s="13"/>
      <c r="AG8" s="13"/>
      <c r="AH8" s="13"/>
      <c r="AI8" s="13"/>
      <c r="AJ8" s="13"/>
      <c r="AK8" s="13"/>
      <c r="AL8" s="13"/>
      <c r="AM8" s="13"/>
      <c r="AN8" s="13"/>
      <c r="AO8" s="13"/>
      <c r="AP8" s="13"/>
      <c r="AQ8" s="13"/>
      <c r="AR8" s="13"/>
      <c r="AS8" s="13"/>
      <c r="AT8" s="13"/>
      <c r="AU8" s="13"/>
      <c r="AV8" s="13"/>
      <c r="AW8" s="13"/>
      <c r="AX8" s="13"/>
      <c r="AY8" s="13"/>
      <c r="AZ8" s="13"/>
      <c r="BA8" s="13"/>
      <c r="BB8" s="13"/>
      <c r="BC8" s="13"/>
      <c r="BD8" s="13"/>
      <c r="BE8" s="13"/>
      <c r="BF8" s="13"/>
      <c r="BG8" s="13"/>
      <c r="BH8" s="13"/>
    </row>
    <row r="9" spans="1:60" x14ac:dyDescent="0.3">
      <c r="A9" s="14"/>
      <c r="B9" s="14"/>
      <c r="C9" s="14"/>
      <c r="D9" s="14"/>
      <c r="E9" s="14"/>
      <c r="F9" s="14"/>
      <c r="G9" s="14"/>
      <c r="H9" s="14"/>
      <c r="I9" s="14"/>
      <c r="J9" s="14"/>
      <c r="K9" s="14"/>
      <c r="L9" s="14"/>
      <c r="M9" s="14"/>
      <c r="N9" s="14"/>
      <c r="O9" s="14"/>
      <c r="P9" s="14"/>
      <c r="Q9" s="14"/>
      <c r="R9" s="14"/>
      <c r="S9" s="14"/>
      <c r="T9" s="14"/>
      <c r="U9" s="14"/>
      <c r="V9" s="14"/>
      <c r="W9" s="14"/>
      <c r="X9" s="14"/>
      <c r="Y9" s="14"/>
      <c r="Z9" s="14"/>
      <c r="AA9" s="14"/>
      <c r="AB9" s="13"/>
      <c r="AC9" s="13"/>
      <c r="AD9" s="13"/>
      <c r="AE9" s="13"/>
      <c r="AF9" s="13"/>
      <c r="AG9" s="13"/>
      <c r="AH9" s="13"/>
      <c r="AI9" s="13"/>
      <c r="AJ9" s="13"/>
      <c r="AK9" s="13"/>
      <c r="AL9" s="13"/>
      <c r="AM9" s="13"/>
      <c r="AN9" s="13"/>
      <c r="AO9" s="13"/>
      <c r="AP9" s="13"/>
      <c r="AQ9" s="13"/>
      <c r="AR9" s="13"/>
      <c r="AS9" s="13"/>
      <c r="AT9" s="13"/>
      <c r="AU9" s="13"/>
      <c r="AV9" s="13"/>
      <c r="AW9" s="13"/>
      <c r="AX9" s="13"/>
      <c r="AY9" s="13"/>
      <c r="AZ9" s="13"/>
      <c r="BA9" s="13"/>
      <c r="BB9" s="13"/>
      <c r="BC9" s="13"/>
      <c r="BD9" s="13"/>
      <c r="BE9" s="13"/>
      <c r="BF9" s="13"/>
      <c r="BG9" s="13"/>
      <c r="BH9" s="13"/>
    </row>
    <row r="10" spans="1:60" x14ac:dyDescent="0.3">
      <c r="A10" s="14"/>
      <c r="B10" s="14"/>
      <c r="C10" s="14"/>
      <c r="D10" s="14"/>
      <c r="E10" s="14"/>
      <c r="F10" s="14"/>
      <c r="G10" s="14"/>
      <c r="H10" s="14"/>
      <c r="I10" s="14"/>
      <c r="J10" s="14"/>
      <c r="K10" s="14"/>
      <c r="L10" s="14"/>
      <c r="M10" s="14"/>
      <c r="N10" s="14"/>
      <c r="O10" s="14"/>
      <c r="P10" s="14"/>
      <c r="Q10" s="14"/>
      <c r="R10" s="14"/>
      <c r="S10" s="14"/>
      <c r="T10" s="14"/>
      <c r="U10" s="14"/>
      <c r="V10" s="14"/>
      <c r="W10" s="14"/>
      <c r="X10" s="14"/>
      <c r="Y10" s="14"/>
      <c r="Z10" s="14"/>
      <c r="AA10" s="14"/>
      <c r="AB10" s="13"/>
      <c r="AC10" s="13"/>
      <c r="AD10" s="13"/>
      <c r="AE10" s="13"/>
      <c r="AF10" s="13"/>
      <c r="AG10" s="13"/>
      <c r="AH10" s="13"/>
      <c r="AI10" s="13"/>
      <c r="AJ10" s="13"/>
      <c r="AK10" s="13"/>
      <c r="AL10" s="13"/>
      <c r="AM10" s="13"/>
      <c r="AN10" s="13"/>
      <c r="AO10" s="13"/>
      <c r="AP10" s="13"/>
      <c r="AQ10" s="13"/>
      <c r="AR10" s="13"/>
      <c r="AS10" s="13"/>
      <c r="AT10" s="13"/>
      <c r="AU10" s="13"/>
      <c r="AV10" s="13"/>
      <c r="AW10" s="13"/>
      <c r="AX10" s="13"/>
      <c r="AY10" s="13"/>
      <c r="AZ10" s="13"/>
      <c r="BA10" s="13"/>
      <c r="BB10" s="13"/>
      <c r="BC10" s="13"/>
      <c r="BD10" s="13"/>
      <c r="BE10" s="13"/>
      <c r="BF10" s="13"/>
      <c r="BG10" s="13"/>
      <c r="BH10" s="13"/>
    </row>
    <row r="11" spans="1:60" x14ac:dyDescent="0.3">
      <c r="A11" s="14"/>
      <c r="B11" s="14"/>
      <c r="C11" s="14"/>
      <c r="D11" s="14"/>
      <c r="E11" s="14"/>
      <c r="F11" s="14"/>
      <c r="G11" s="14"/>
      <c r="H11" s="14"/>
      <c r="I11" s="14"/>
      <c r="J11" s="14"/>
      <c r="K11" s="14"/>
      <c r="L11" s="14"/>
      <c r="M11" s="14"/>
      <c r="N11" s="14"/>
      <c r="O11" s="14"/>
      <c r="P11" s="14"/>
      <c r="Q11" s="14"/>
      <c r="R11" s="14"/>
      <c r="S11" s="14"/>
      <c r="T11" s="14"/>
      <c r="U11" s="14"/>
      <c r="V11" s="14"/>
      <c r="W11" s="14"/>
      <c r="X11" s="14"/>
      <c r="Y11" s="14"/>
      <c r="Z11" s="14"/>
      <c r="AA11" s="14"/>
      <c r="AB11" s="13"/>
      <c r="AC11" s="13"/>
      <c r="AD11" s="13"/>
      <c r="AE11" s="13"/>
      <c r="AF11" s="13"/>
      <c r="AG11" s="13"/>
      <c r="AH11" s="13"/>
      <c r="AI11" s="13"/>
      <c r="AJ11" s="13"/>
      <c r="AK11" s="13"/>
      <c r="AL11" s="13"/>
      <c r="AM11" s="13"/>
      <c r="AN11" s="13"/>
      <c r="AO11" s="13"/>
      <c r="AP11" s="13"/>
      <c r="AQ11" s="13"/>
      <c r="AR11" s="13"/>
      <c r="AS11" s="13"/>
      <c r="AT11" s="13"/>
      <c r="AU11" s="13"/>
      <c r="AV11" s="13"/>
      <c r="AW11" s="13"/>
      <c r="AX11" s="13"/>
      <c r="AY11" s="13"/>
      <c r="AZ11" s="13"/>
      <c r="BA11" s="13"/>
      <c r="BB11" s="13"/>
      <c r="BC11" s="13"/>
      <c r="BD11" s="13"/>
      <c r="BE11" s="13"/>
      <c r="BF11" s="13"/>
      <c r="BG11" s="13"/>
      <c r="BH11" s="13"/>
    </row>
    <row r="12" spans="1:60" x14ac:dyDescent="0.3">
      <c r="A12" s="14"/>
      <c r="B12" s="14"/>
      <c r="C12" s="14"/>
      <c r="D12" s="14"/>
      <c r="E12" s="14"/>
      <c r="F12" s="14"/>
      <c r="G12" s="14"/>
      <c r="H12" s="14"/>
      <c r="I12" s="14"/>
      <c r="J12" s="14"/>
      <c r="K12" s="14"/>
      <c r="L12" s="14"/>
      <c r="M12" s="14"/>
      <c r="N12" s="14"/>
      <c r="O12" s="14"/>
      <c r="P12" s="14"/>
      <c r="Q12" s="14"/>
      <c r="R12" s="14"/>
      <c r="S12" s="14"/>
      <c r="T12" s="14"/>
      <c r="U12" s="14"/>
      <c r="V12" s="14"/>
      <c r="W12" s="14"/>
      <c r="X12" s="14"/>
      <c r="Y12" s="14"/>
      <c r="Z12" s="14"/>
      <c r="AA12" s="14"/>
      <c r="AB12" s="13"/>
      <c r="AC12" s="13"/>
      <c r="AD12" s="13"/>
      <c r="AE12" s="13"/>
      <c r="AF12" s="13"/>
      <c r="AG12" s="13"/>
      <c r="AH12" s="13"/>
      <c r="AI12" s="13"/>
      <c r="AJ12" s="13"/>
      <c r="AK12" s="13"/>
      <c r="AL12" s="13"/>
      <c r="AM12" s="13"/>
      <c r="AN12" s="13"/>
      <c r="AO12" s="13"/>
      <c r="AP12" s="13"/>
      <c r="AQ12" s="13"/>
      <c r="AR12" s="13"/>
      <c r="AS12" s="13"/>
      <c r="AT12" s="13"/>
      <c r="AU12" s="13"/>
      <c r="AV12" s="13"/>
      <c r="AW12" s="13"/>
      <c r="AX12" s="13"/>
      <c r="AY12" s="13"/>
      <c r="AZ12" s="13"/>
      <c r="BA12" s="13"/>
      <c r="BB12" s="13"/>
      <c r="BC12" s="13"/>
      <c r="BD12" s="13"/>
      <c r="BE12" s="13"/>
      <c r="BF12" s="13"/>
      <c r="BG12" s="13"/>
      <c r="BH12" s="13"/>
    </row>
    <row r="13" spans="1:60" x14ac:dyDescent="0.3">
      <c r="A13" s="14"/>
      <c r="B13" s="14"/>
      <c r="C13" s="14"/>
      <c r="D13" s="14"/>
      <c r="E13" s="14"/>
      <c r="F13" s="14"/>
      <c r="G13" s="14"/>
      <c r="H13" s="14"/>
      <c r="I13" s="14"/>
      <c r="J13" s="14"/>
      <c r="K13" s="14"/>
      <c r="L13" s="14"/>
      <c r="M13" s="14"/>
      <c r="N13" s="14"/>
      <c r="O13" s="14"/>
      <c r="P13" s="14"/>
      <c r="Q13" s="14"/>
      <c r="R13" s="14"/>
      <c r="S13" s="14"/>
      <c r="T13" s="14"/>
      <c r="U13" s="14"/>
      <c r="V13" s="14"/>
      <c r="W13" s="14"/>
      <c r="X13" s="14"/>
      <c r="Y13" s="14"/>
      <c r="Z13" s="14"/>
      <c r="AA13" s="14"/>
      <c r="AB13" s="13"/>
      <c r="AC13" s="13"/>
      <c r="AD13" s="13"/>
      <c r="AE13" s="13"/>
      <c r="AF13" s="13"/>
      <c r="AG13" s="13"/>
      <c r="AH13" s="13"/>
      <c r="AI13" s="13"/>
      <c r="AJ13" s="13"/>
      <c r="AK13" s="13"/>
      <c r="AL13" s="13"/>
      <c r="AM13" s="13"/>
      <c r="AN13" s="13"/>
      <c r="AO13" s="13"/>
      <c r="AP13" s="13"/>
      <c r="AQ13" s="13"/>
      <c r="AR13" s="13"/>
      <c r="AS13" s="13"/>
      <c r="AT13" s="13"/>
      <c r="AU13" s="13"/>
      <c r="AV13" s="13"/>
      <c r="AW13" s="13"/>
      <c r="AX13" s="13"/>
      <c r="AY13" s="13"/>
      <c r="AZ13" s="13"/>
      <c r="BA13" s="13"/>
      <c r="BB13" s="13"/>
      <c r="BC13" s="13"/>
      <c r="BD13" s="13"/>
      <c r="BE13" s="13"/>
      <c r="BF13" s="13"/>
      <c r="BG13" s="13"/>
      <c r="BH13" s="13"/>
    </row>
    <row r="14" spans="1:60" x14ac:dyDescent="0.3">
      <c r="A14" s="14"/>
      <c r="B14" s="14"/>
      <c r="C14" s="14"/>
      <c r="D14" s="14"/>
      <c r="E14" s="14"/>
      <c r="F14" s="14"/>
      <c r="G14" s="14"/>
      <c r="H14" s="14"/>
      <c r="I14" s="14"/>
      <c r="J14" s="14"/>
      <c r="K14" s="14"/>
      <c r="L14" s="14"/>
      <c r="M14" s="14"/>
      <c r="N14" s="14"/>
      <c r="O14" s="14"/>
      <c r="P14" s="14"/>
      <c r="Q14" s="14"/>
      <c r="R14" s="14"/>
      <c r="S14" s="14"/>
      <c r="T14" s="14"/>
      <c r="U14" s="14"/>
      <c r="V14" s="14"/>
      <c r="W14" s="14"/>
      <c r="X14" s="14"/>
      <c r="Y14" s="14"/>
      <c r="Z14" s="14"/>
      <c r="AA14" s="14"/>
      <c r="AB14" s="13"/>
      <c r="AC14" s="13"/>
      <c r="AD14" s="13"/>
      <c r="AE14" s="13"/>
      <c r="AF14" s="13"/>
      <c r="AG14" s="13"/>
      <c r="AH14" s="13"/>
      <c r="AI14" s="13"/>
      <c r="AJ14" s="13"/>
      <c r="AK14" s="13"/>
      <c r="AL14" s="13"/>
      <c r="AM14" s="13"/>
      <c r="AN14" s="13"/>
      <c r="AO14" s="13"/>
      <c r="AP14" s="13"/>
      <c r="AQ14" s="13"/>
      <c r="AR14" s="13"/>
      <c r="AS14" s="13"/>
      <c r="AT14" s="13"/>
      <c r="AU14" s="13"/>
      <c r="AV14" s="13"/>
      <c r="AW14" s="13"/>
      <c r="AX14" s="13"/>
      <c r="AY14" s="13"/>
      <c r="AZ14" s="13"/>
      <c r="BA14" s="13"/>
      <c r="BB14" s="13"/>
      <c r="BC14" s="13"/>
      <c r="BD14" s="13"/>
      <c r="BE14" s="13"/>
      <c r="BF14" s="13"/>
      <c r="BG14" s="13"/>
      <c r="BH14" s="13"/>
    </row>
    <row r="15" spans="1:60" x14ac:dyDescent="0.3">
      <c r="A15" s="14"/>
      <c r="B15" s="14"/>
      <c r="C15" s="14"/>
      <c r="D15" s="14"/>
      <c r="E15" s="14"/>
      <c r="F15" s="14"/>
      <c r="G15" s="14"/>
      <c r="H15" s="14"/>
      <c r="I15" s="14"/>
      <c r="J15" s="14"/>
      <c r="K15" s="14"/>
      <c r="L15" s="14"/>
      <c r="M15" s="14"/>
      <c r="N15" s="14"/>
      <c r="O15" s="14"/>
      <c r="P15" s="14"/>
      <c r="Q15" s="14"/>
      <c r="R15" s="14"/>
      <c r="S15" s="14"/>
      <c r="T15" s="14"/>
      <c r="U15" s="14"/>
      <c r="V15" s="14"/>
      <c r="W15" s="14"/>
      <c r="X15" s="14"/>
      <c r="Y15" s="14"/>
      <c r="Z15" s="14"/>
      <c r="AA15" s="14"/>
      <c r="AB15" s="13"/>
      <c r="AC15" s="13"/>
      <c r="AD15" s="13"/>
      <c r="AE15" s="13"/>
      <c r="AF15" s="13"/>
      <c r="AG15" s="13"/>
      <c r="AH15" s="13"/>
      <c r="AI15" s="13"/>
      <c r="AJ15" s="13"/>
      <c r="AK15" s="13"/>
      <c r="AL15" s="13"/>
      <c r="AM15" s="13"/>
      <c r="AN15" s="13"/>
      <c r="AO15" s="13"/>
      <c r="AP15" s="13"/>
      <c r="AQ15" s="13"/>
      <c r="AR15" s="13"/>
      <c r="AS15" s="13"/>
      <c r="AT15" s="13"/>
      <c r="AU15" s="13"/>
      <c r="AV15" s="13"/>
      <c r="AW15" s="13"/>
      <c r="AX15" s="13"/>
      <c r="AY15" s="13"/>
      <c r="AZ15" s="13"/>
      <c r="BA15" s="13"/>
      <c r="BB15" s="13"/>
      <c r="BC15" s="13"/>
      <c r="BD15" s="13"/>
      <c r="BE15" s="13"/>
      <c r="BF15" s="13"/>
      <c r="BG15" s="13"/>
      <c r="BH15" s="13"/>
    </row>
    <row r="16" spans="1:60" x14ac:dyDescent="0.3">
      <c r="A16" s="14"/>
      <c r="B16" s="14"/>
      <c r="C16" s="14"/>
      <c r="D16" s="14"/>
      <c r="E16" s="14"/>
      <c r="F16" s="14"/>
      <c r="G16" s="14"/>
      <c r="H16" s="14"/>
      <c r="I16" s="14"/>
      <c r="J16" s="14"/>
      <c r="K16" s="14"/>
      <c r="L16" s="14"/>
      <c r="M16" s="14"/>
      <c r="N16" s="14"/>
      <c r="O16" s="14"/>
      <c r="P16" s="14"/>
      <c r="Q16" s="14"/>
      <c r="R16" s="14"/>
      <c r="S16" s="14"/>
      <c r="T16" s="14"/>
      <c r="U16" s="14"/>
      <c r="V16" s="14"/>
      <c r="W16" s="14"/>
      <c r="X16" s="14"/>
      <c r="Y16" s="14"/>
      <c r="Z16" s="14"/>
      <c r="AA16" s="14"/>
      <c r="AB16" s="13"/>
      <c r="AC16" s="13"/>
      <c r="AD16" s="13"/>
      <c r="AE16" s="13"/>
      <c r="AF16" s="13"/>
      <c r="AG16" s="13"/>
      <c r="AH16" s="13"/>
      <c r="AI16" s="13"/>
      <c r="AJ16" s="13"/>
      <c r="AK16" s="13"/>
      <c r="AL16" s="13"/>
      <c r="AM16" s="13"/>
      <c r="AN16" s="13"/>
      <c r="AO16" s="13"/>
      <c r="AP16" s="13"/>
      <c r="AQ16" s="13"/>
      <c r="AR16" s="13"/>
      <c r="AS16" s="13"/>
      <c r="AT16" s="13"/>
      <c r="AU16" s="13"/>
      <c r="AV16" s="13"/>
      <c r="AW16" s="13"/>
      <c r="AX16" s="13"/>
      <c r="AY16" s="13"/>
      <c r="AZ16" s="13"/>
      <c r="BA16" s="13"/>
      <c r="BB16" s="13"/>
      <c r="BC16" s="13"/>
      <c r="BD16" s="13"/>
      <c r="BE16" s="13"/>
      <c r="BF16" s="13"/>
      <c r="BG16" s="13"/>
      <c r="BH16" s="13"/>
    </row>
    <row r="17" spans="1:60" x14ac:dyDescent="0.3">
      <c r="A17" s="14"/>
      <c r="B17" s="14"/>
      <c r="C17" s="14"/>
      <c r="D17" s="14"/>
      <c r="E17" s="14"/>
      <c r="F17" s="14"/>
      <c r="G17" s="14"/>
      <c r="H17" s="14"/>
      <c r="I17" s="14"/>
      <c r="J17" s="14"/>
      <c r="K17" s="14"/>
      <c r="L17" s="14"/>
      <c r="M17" s="14"/>
      <c r="N17" s="14"/>
      <c r="O17" s="14"/>
      <c r="P17" s="14"/>
      <c r="Q17" s="14"/>
      <c r="R17" s="14"/>
      <c r="S17" s="14"/>
      <c r="T17" s="14"/>
      <c r="U17" s="14"/>
      <c r="V17" s="14"/>
      <c r="W17" s="14"/>
      <c r="X17" s="14"/>
      <c r="Y17" s="14"/>
      <c r="Z17" s="14"/>
      <c r="AA17" s="14"/>
      <c r="AB17" s="13"/>
      <c r="AC17" s="13"/>
      <c r="AD17" s="13"/>
      <c r="AE17" s="13"/>
      <c r="AF17" s="13"/>
      <c r="AG17" s="13"/>
      <c r="AH17" s="13"/>
      <c r="AI17" s="13"/>
      <c r="AJ17" s="13"/>
      <c r="AK17" s="13"/>
      <c r="AL17" s="13"/>
      <c r="AM17" s="13"/>
      <c r="AN17" s="13"/>
      <c r="AO17" s="13"/>
      <c r="AP17" s="13"/>
      <c r="AQ17" s="13"/>
      <c r="AR17" s="13"/>
      <c r="AS17" s="13"/>
      <c r="AT17" s="13"/>
      <c r="AU17" s="13"/>
      <c r="AV17" s="13"/>
      <c r="AW17" s="13"/>
      <c r="AX17" s="13"/>
      <c r="AY17" s="13"/>
      <c r="AZ17" s="13"/>
      <c r="BA17" s="13"/>
      <c r="BB17" s="13"/>
      <c r="BC17" s="13"/>
      <c r="BD17" s="13"/>
      <c r="BE17" s="13"/>
      <c r="BF17" s="13"/>
      <c r="BG17" s="13"/>
      <c r="BH17" s="13"/>
    </row>
    <row r="18" spans="1:60" x14ac:dyDescent="0.3">
      <c r="A18" s="14"/>
      <c r="B18" s="14"/>
      <c r="C18" s="14"/>
      <c r="D18" s="14"/>
      <c r="E18" s="14"/>
      <c r="F18" s="14"/>
      <c r="G18" s="14"/>
      <c r="H18" s="14"/>
      <c r="I18" s="14"/>
      <c r="J18" s="14"/>
      <c r="K18" s="14"/>
      <c r="L18" s="14"/>
      <c r="M18" s="14"/>
      <c r="N18" s="14"/>
      <c r="O18" s="14"/>
      <c r="P18" s="14"/>
      <c r="Q18" s="14"/>
      <c r="R18" s="14"/>
      <c r="S18" s="14"/>
      <c r="T18" s="14"/>
      <c r="U18" s="14"/>
      <c r="V18" s="14"/>
      <c r="W18" s="14"/>
      <c r="X18" s="14"/>
      <c r="Y18" s="14"/>
      <c r="Z18" s="14"/>
      <c r="AA18" s="14"/>
      <c r="AB18" s="13"/>
      <c r="AC18" s="13"/>
      <c r="AD18" s="13"/>
      <c r="AE18" s="13"/>
      <c r="AF18" s="13"/>
      <c r="AG18" s="13"/>
      <c r="AH18" s="13"/>
      <c r="AI18" s="13"/>
      <c r="AJ18" s="13"/>
      <c r="AK18" s="13"/>
      <c r="AL18" s="13"/>
      <c r="AM18" s="13"/>
      <c r="AN18" s="13"/>
      <c r="AO18" s="13"/>
      <c r="AP18" s="13"/>
      <c r="AQ18" s="13"/>
      <c r="AR18" s="13"/>
      <c r="AS18" s="13"/>
      <c r="AT18" s="13"/>
      <c r="AU18" s="13"/>
      <c r="AV18" s="13"/>
      <c r="AW18" s="13"/>
      <c r="AX18" s="13"/>
      <c r="AY18" s="13"/>
      <c r="AZ18" s="13"/>
      <c r="BA18" s="13"/>
      <c r="BB18" s="13"/>
      <c r="BC18" s="13"/>
      <c r="BD18" s="13"/>
      <c r="BE18" s="13"/>
      <c r="BF18" s="13"/>
      <c r="BG18" s="13"/>
      <c r="BH18" s="13"/>
    </row>
    <row r="19" spans="1:60" x14ac:dyDescent="0.3">
      <c r="A19" s="14"/>
      <c r="B19" s="14"/>
      <c r="C19" s="14"/>
      <c r="D19" s="14"/>
      <c r="E19" s="14"/>
      <c r="F19" s="14"/>
      <c r="G19" s="14"/>
      <c r="H19" s="14"/>
      <c r="I19" s="14"/>
      <c r="J19" s="14"/>
      <c r="K19" s="14"/>
      <c r="L19" s="14"/>
      <c r="M19" s="14"/>
      <c r="N19" s="14"/>
      <c r="O19" s="14"/>
      <c r="P19" s="14"/>
      <c r="Q19" s="14"/>
      <c r="R19" s="14"/>
      <c r="S19" s="14"/>
      <c r="T19" s="14"/>
      <c r="U19" s="14"/>
      <c r="V19" s="14"/>
      <c r="W19" s="14"/>
      <c r="X19" s="14"/>
      <c r="Y19" s="14"/>
      <c r="Z19" s="14"/>
      <c r="AA19" s="14"/>
      <c r="AB19" s="13"/>
      <c r="AC19" s="13"/>
      <c r="AD19" s="13"/>
      <c r="AE19" s="13"/>
      <c r="AF19" s="13"/>
      <c r="AG19" s="13"/>
      <c r="AH19" s="13"/>
      <c r="AI19" s="13"/>
      <c r="AJ19" s="13"/>
      <c r="AK19" s="13"/>
      <c r="AL19" s="13"/>
      <c r="AM19" s="13"/>
      <c r="AN19" s="13"/>
      <c r="AO19" s="13"/>
      <c r="AP19" s="13"/>
      <c r="AQ19" s="13"/>
      <c r="AR19" s="13"/>
      <c r="AS19" s="13"/>
      <c r="AT19" s="13"/>
      <c r="AU19" s="13"/>
      <c r="AV19" s="13"/>
      <c r="AW19" s="13"/>
      <c r="AX19" s="13"/>
      <c r="AY19" s="13"/>
      <c r="AZ19" s="13"/>
      <c r="BA19" s="13"/>
      <c r="BB19" s="13"/>
      <c r="BC19" s="13"/>
      <c r="BD19" s="13"/>
      <c r="BE19" s="13"/>
      <c r="BF19" s="13"/>
      <c r="BG19" s="13"/>
      <c r="BH19" s="13"/>
    </row>
    <row r="20" spans="1:60" x14ac:dyDescent="0.3">
      <c r="A20" s="14"/>
      <c r="B20" s="14"/>
      <c r="C20" s="14"/>
      <c r="D20" s="14"/>
      <c r="E20" s="14"/>
      <c r="F20" s="14"/>
      <c r="G20" s="14"/>
      <c r="H20" s="14"/>
      <c r="I20" s="14"/>
      <c r="J20" s="14"/>
      <c r="K20" s="14"/>
      <c r="L20" s="14"/>
      <c r="M20" s="14"/>
      <c r="N20" s="14"/>
      <c r="O20" s="14"/>
      <c r="P20" s="14"/>
      <c r="Q20" s="14"/>
      <c r="R20" s="14"/>
      <c r="S20" s="14"/>
      <c r="T20" s="14"/>
      <c r="U20" s="14"/>
      <c r="V20" s="14"/>
      <c r="W20" s="14"/>
      <c r="X20" s="14"/>
      <c r="Y20" s="14"/>
      <c r="Z20" s="14"/>
      <c r="AA20" s="14"/>
      <c r="AB20" s="13"/>
      <c r="AC20" s="13"/>
      <c r="AD20" s="13"/>
      <c r="AE20" s="13"/>
      <c r="AF20" s="13"/>
      <c r="AG20" s="13"/>
      <c r="AH20" s="13"/>
      <c r="AI20" s="13"/>
      <c r="AJ20" s="13"/>
      <c r="AK20" s="13"/>
      <c r="AL20" s="13"/>
      <c r="AM20" s="13"/>
      <c r="AN20" s="13"/>
      <c r="AO20" s="13"/>
      <c r="AP20" s="13"/>
      <c r="AQ20" s="13"/>
      <c r="AR20" s="13"/>
      <c r="AS20" s="13"/>
      <c r="AT20" s="13"/>
      <c r="AU20" s="13"/>
      <c r="AV20" s="13"/>
      <c r="AW20" s="13"/>
      <c r="AX20" s="13"/>
      <c r="AY20" s="13"/>
      <c r="AZ20" s="13"/>
      <c r="BA20" s="13"/>
      <c r="BB20" s="13"/>
      <c r="BC20" s="13"/>
      <c r="BD20" s="13"/>
      <c r="BE20" s="13"/>
      <c r="BF20" s="13"/>
      <c r="BG20" s="13"/>
      <c r="BH20" s="13"/>
    </row>
    <row r="21" spans="1:60" x14ac:dyDescent="0.3">
      <c r="A21" s="14"/>
      <c r="B21" s="14"/>
      <c r="C21" s="14"/>
      <c r="D21" s="14"/>
      <c r="E21" s="14"/>
      <c r="F21" s="14"/>
      <c r="G21" s="14"/>
      <c r="H21" s="14"/>
      <c r="I21" s="14"/>
      <c r="J21" s="14"/>
      <c r="K21" s="14"/>
      <c r="L21" s="14"/>
      <c r="M21" s="14"/>
      <c r="N21" s="14"/>
      <c r="O21" s="14"/>
      <c r="P21" s="14"/>
      <c r="Q21" s="14"/>
      <c r="R21" s="14"/>
      <c r="S21" s="14"/>
      <c r="T21" s="14"/>
      <c r="U21" s="14"/>
      <c r="V21" s="14"/>
      <c r="W21" s="14"/>
      <c r="X21" s="14"/>
      <c r="Y21" s="14"/>
      <c r="Z21" s="14"/>
      <c r="AA21" s="14"/>
      <c r="AB21" s="13"/>
      <c r="AC21" s="13"/>
      <c r="AD21" s="13"/>
      <c r="AE21" s="13"/>
      <c r="AF21" s="13"/>
      <c r="AG21" s="13"/>
      <c r="AH21" s="13"/>
      <c r="AI21" s="13"/>
      <c r="AJ21" s="13"/>
      <c r="AK21" s="13"/>
      <c r="AL21" s="13"/>
      <c r="AM21" s="13"/>
      <c r="AN21" s="13"/>
      <c r="AO21" s="13"/>
      <c r="AP21" s="13"/>
      <c r="AQ21" s="13"/>
      <c r="AR21" s="13"/>
      <c r="AS21" s="13"/>
      <c r="AT21" s="13"/>
      <c r="AU21" s="13"/>
      <c r="AV21" s="13"/>
      <c r="AW21" s="13"/>
      <c r="AX21" s="13"/>
      <c r="AY21" s="13"/>
      <c r="AZ21" s="13"/>
      <c r="BA21" s="13"/>
      <c r="BB21" s="13"/>
      <c r="BC21" s="13"/>
      <c r="BD21" s="13"/>
      <c r="BE21" s="13"/>
      <c r="BF21" s="13"/>
      <c r="BG21" s="13"/>
      <c r="BH21" s="13"/>
    </row>
    <row r="22" spans="1:60" x14ac:dyDescent="0.3">
      <c r="A22" s="14"/>
      <c r="B22" s="14"/>
      <c r="C22" s="14"/>
      <c r="D22" s="14"/>
      <c r="E22" s="14"/>
      <c r="F22" s="14"/>
      <c r="G22" s="14"/>
      <c r="H22" s="14"/>
      <c r="I22" s="14"/>
      <c r="J22" s="14"/>
      <c r="K22" s="14"/>
      <c r="L22" s="14"/>
      <c r="M22" s="14"/>
      <c r="N22" s="14"/>
      <c r="O22" s="14"/>
      <c r="P22" s="14"/>
      <c r="Q22" s="14"/>
      <c r="R22" s="14"/>
      <c r="S22" s="14"/>
      <c r="T22" s="14"/>
      <c r="U22" s="14"/>
      <c r="V22" s="14"/>
      <c r="W22" s="14"/>
      <c r="X22" s="14"/>
      <c r="Y22" s="14"/>
      <c r="Z22" s="14"/>
      <c r="AA22" s="14"/>
      <c r="AB22" s="13"/>
      <c r="AC22" s="13"/>
      <c r="AD22" s="13"/>
      <c r="AE22" s="13"/>
      <c r="AF22" s="13"/>
      <c r="AG22" s="13"/>
      <c r="AH22" s="13"/>
      <c r="AI22" s="13"/>
      <c r="AJ22" s="13"/>
      <c r="AK22" s="13"/>
      <c r="AL22" s="13"/>
      <c r="AM22" s="13"/>
      <c r="AN22" s="13"/>
      <c r="AO22" s="13"/>
      <c r="AP22" s="13"/>
      <c r="AQ22" s="13"/>
      <c r="AR22" s="13"/>
      <c r="AS22" s="13"/>
      <c r="AT22" s="13"/>
      <c r="AU22" s="13"/>
      <c r="AV22" s="13"/>
      <c r="AW22" s="13"/>
      <c r="AX22" s="13"/>
      <c r="AY22" s="13"/>
      <c r="AZ22" s="13"/>
      <c r="BA22" s="13"/>
      <c r="BB22" s="13"/>
      <c r="BC22" s="13"/>
      <c r="BD22" s="13"/>
      <c r="BE22" s="13"/>
      <c r="BF22" s="13"/>
      <c r="BG22" s="13"/>
      <c r="BH22" s="13"/>
    </row>
    <row r="23" spans="1:60" x14ac:dyDescent="0.3">
      <c r="A23" s="14"/>
      <c r="B23" s="14"/>
      <c r="C23" s="14"/>
      <c r="D23" s="14"/>
      <c r="E23" s="14"/>
      <c r="F23" s="14"/>
      <c r="G23" s="14"/>
      <c r="H23" s="14"/>
      <c r="I23" s="14"/>
      <c r="J23" s="14"/>
      <c r="K23" s="14"/>
      <c r="L23" s="14"/>
      <c r="M23" s="14"/>
      <c r="N23" s="14"/>
      <c r="O23" s="14"/>
      <c r="P23" s="14"/>
      <c r="Q23" s="14"/>
      <c r="R23" s="14"/>
      <c r="S23" s="14"/>
      <c r="T23" s="14"/>
      <c r="U23" s="14"/>
      <c r="V23" s="14"/>
      <c r="W23" s="14"/>
      <c r="X23" s="14"/>
      <c r="Y23" s="14"/>
      <c r="Z23" s="14"/>
      <c r="AA23" s="14"/>
      <c r="AB23" s="13"/>
      <c r="AC23" s="13"/>
      <c r="AD23" s="13"/>
      <c r="AE23" s="13"/>
      <c r="AF23" s="13"/>
      <c r="AG23" s="13"/>
      <c r="AH23" s="13"/>
      <c r="AI23" s="13"/>
      <c r="AJ23" s="13"/>
      <c r="AK23" s="13"/>
      <c r="AL23" s="13"/>
      <c r="AM23" s="13"/>
      <c r="AN23" s="13"/>
      <c r="AO23" s="13"/>
      <c r="AP23" s="13"/>
      <c r="AQ23" s="13"/>
      <c r="AR23" s="13"/>
      <c r="AS23" s="13"/>
      <c r="AT23" s="13"/>
      <c r="AU23" s="13"/>
      <c r="AV23" s="13"/>
      <c r="AW23" s="13"/>
      <c r="AX23" s="13"/>
      <c r="AY23" s="13"/>
      <c r="AZ23" s="13"/>
      <c r="BA23" s="13"/>
      <c r="BB23" s="13"/>
      <c r="BC23" s="13"/>
      <c r="BD23" s="13"/>
      <c r="BE23" s="13"/>
      <c r="BF23" s="13"/>
      <c r="BG23" s="13"/>
      <c r="BH23" s="13"/>
    </row>
    <row r="24" spans="1:60" x14ac:dyDescent="0.3">
      <c r="A24" s="14"/>
      <c r="B24" s="14"/>
      <c r="C24" s="14"/>
      <c r="D24" s="14"/>
      <c r="E24" s="14"/>
      <c r="F24" s="14"/>
      <c r="G24" s="14"/>
      <c r="H24" s="14"/>
      <c r="I24" s="14"/>
      <c r="J24" s="14"/>
      <c r="K24" s="14"/>
      <c r="L24" s="14"/>
      <c r="M24" s="14"/>
      <c r="N24" s="14"/>
      <c r="O24" s="14"/>
      <c r="P24" s="14"/>
      <c r="Q24" s="14"/>
      <c r="R24" s="14"/>
      <c r="S24" s="14"/>
      <c r="T24" s="14"/>
      <c r="U24" s="14"/>
      <c r="V24" s="14"/>
      <c r="W24" s="14"/>
      <c r="X24" s="14"/>
      <c r="Y24" s="14"/>
      <c r="Z24" s="14"/>
      <c r="AA24" s="14"/>
      <c r="AB24" s="13"/>
      <c r="AC24" s="13"/>
      <c r="AD24" s="13"/>
      <c r="AE24" s="13"/>
      <c r="AF24" s="13"/>
      <c r="AG24" s="13"/>
      <c r="AH24" s="13"/>
      <c r="AI24" s="13"/>
      <c r="AJ24" s="13"/>
      <c r="AK24" s="13"/>
      <c r="AL24" s="13"/>
      <c r="AM24" s="13"/>
      <c r="AN24" s="13"/>
      <c r="AO24" s="13"/>
      <c r="AP24" s="13"/>
      <c r="AQ24" s="13"/>
      <c r="AR24" s="13"/>
      <c r="AS24" s="13"/>
      <c r="AT24" s="13"/>
      <c r="AU24" s="13"/>
      <c r="AV24" s="13"/>
      <c r="AW24" s="13"/>
      <c r="AX24" s="13"/>
      <c r="AY24" s="13"/>
      <c r="AZ24" s="13"/>
      <c r="BA24" s="13"/>
      <c r="BB24" s="13"/>
      <c r="BC24" s="13"/>
      <c r="BD24" s="13"/>
      <c r="BE24" s="13"/>
      <c r="BF24" s="13"/>
      <c r="BG24" s="13"/>
      <c r="BH24" s="13"/>
    </row>
    <row r="25" spans="1:60" x14ac:dyDescent="0.3">
      <c r="A25" s="14"/>
      <c r="B25" s="14"/>
      <c r="C25" s="14"/>
      <c r="D25" s="14"/>
      <c r="E25" s="14"/>
      <c r="F25" s="14"/>
      <c r="G25" s="14"/>
      <c r="H25" s="14"/>
      <c r="I25" s="14"/>
      <c r="J25" s="14"/>
      <c r="K25" s="14"/>
      <c r="L25" s="14"/>
      <c r="M25" s="14"/>
      <c r="N25" s="14"/>
      <c r="O25" s="14"/>
      <c r="P25" s="14"/>
      <c r="Q25" s="14"/>
      <c r="R25" s="14"/>
      <c r="S25" s="14"/>
      <c r="T25" s="14"/>
      <c r="U25" s="14"/>
      <c r="V25" s="14"/>
      <c r="W25" s="14"/>
      <c r="X25" s="14"/>
      <c r="Y25" s="14"/>
      <c r="Z25" s="14"/>
      <c r="AA25" s="14"/>
      <c r="AB25" s="13"/>
      <c r="AC25" s="13"/>
      <c r="AD25" s="13"/>
      <c r="AE25" s="13"/>
      <c r="AF25" s="13"/>
      <c r="AG25" s="13"/>
      <c r="AH25" s="13"/>
      <c r="AI25" s="13"/>
      <c r="AJ25" s="13"/>
      <c r="AK25" s="13"/>
      <c r="AL25" s="13"/>
      <c r="AM25" s="13"/>
      <c r="AN25" s="13"/>
      <c r="AO25" s="13"/>
      <c r="AP25" s="13"/>
      <c r="AQ25" s="13"/>
      <c r="AR25" s="13"/>
      <c r="AS25" s="13"/>
      <c r="AT25" s="13"/>
      <c r="AU25" s="13"/>
      <c r="AV25" s="13"/>
      <c r="AW25" s="13"/>
      <c r="AX25" s="13"/>
      <c r="AY25" s="13"/>
      <c r="AZ25" s="13"/>
      <c r="BA25" s="13"/>
      <c r="BB25" s="13"/>
      <c r="BC25" s="13"/>
      <c r="BD25" s="13"/>
      <c r="BE25" s="13"/>
      <c r="BF25" s="13"/>
      <c r="BG25" s="13"/>
      <c r="BH25" s="13"/>
    </row>
    <row r="26" spans="1:60" x14ac:dyDescent="0.3">
      <c r="A26" s="14"/>
      <c r="B26" s="14"/>
      <c r="C26" s="14"/>
      <c r="D26" s="14"/>
      <c r="E26" s="14"/>
      <c r="F26" s="14"/>
      <c r="G26" s="14"/>
      <c r="H26" s="14"/>
      <c r="I26" s="14"/>
      <c r="J26" s="14"/>
      <c r="K26" s="14"/>
      <c r="L26" s="14"/>
      <c r="M26" s="14"/>
      <c r="N26" s="14"/>
      <c r="O26" s="14"/>
      <c r="P26" s="14"/>
      <c r="Q26" s="14"/>
      <c r="R26" s="14"/>
      <c r="S26" s="14"/>
      <c r="T26" s="14"/>
      <c r="U26" s="14"/>
      <c r="V26" s="14"/>
      <c r="W26" s="14"/>
      <c r="X26" s="14"/>
      <c r="Y26" s="14"/>
      <c r="Z26" s="14"/>
      <c r="AA26" s="14"/>
      <c r="AB26" s="13"/>
      <c r="AC26" s="13"/>
      <c r="AD26" s="13"/>
      <c r="AE26" s="13"/>
      <c r="AF26" s="13"/>
      <c r="AG26" s="13"/>
      <c r="AH26" s="13"/>
      <c r="AI26" s="13"/>
      <c r="AJ26" s="13"/>
      <c r="AK26" s="13"/>
      <c r="AL26" s="13"/>
      <c r="AM26" s="13"/>
      <c r="AN26" s="13"/>
      <c r="AO26" s="13"/>
      <c r="AP26" s="13"/>
      <c r="AQ26" s="13"/>
      <c r="AR26" s="13"/>
      <c r="AS26" s="13"/>
      <c r="AT26" s="13"/>
      <c r="AU26" s="13"/>
      <c r="AV26" s="13"/>
      <c r="AW26" s="13"/>
      <c r="AX26" s="13"/>
      <c r="AY26" s="13"/>
      <c r="AZ26" s="13"/>
      <c r="BA26" s="13"/>
      <c r="BB26" s="13"/>
      <c r="BC26" s="13"/>
      <c r="BD26" s="13"/>
      <c r="BE26" s="13"/>
      <c r="BF26" s="13"/>
      <c r="BG26" s="13"/>
      <c r="BH26" s="13"/>
    </row>
    <row r="27" spans="1:60" x14ac:dyDescent="0.3">
      <c r="A27" s="14"/>
      <c r="B27" s="14"/>
      <c r="C27" s="14"/>
      <c r="D27" s="14"/>
      <c r="E27" s="14"/>
      <c r="F27" s="14"/>
      <c r="G27" s="14"/>
      <c r="H27" s="14"/>
      <c r="I27" s="14"/>
      <c r="J27" s="14"/>
      <c r="K27" s="14"/>
      <c r="L27" s="14"/>
      <c r="M27" s="14"/>
      <c r="N27" s="14"/>
      <c r="O27" s="14"/>
      <c r="P27" s="14"/>
      <c r="Q27" s="14"/>
      <c r="R27" s="14"/>
      <c r="S27" s="14"/>
      <c r="T27" s="14"/>
      <c r="U27" s="14"/>
      <c r="V27" s="14"/>
      <c r="W27" s="14"/>
      <c r="X27" s="14"/>
      <c r="Y27" s="14"/>
      <c r="Z27" s="14"/>
      <c r="AA27" s="14"/>
      <c r="AB27" s="13"/>
      <c r="AC27" s="13"/>
      <c r="AD27" s="13"/>
      <c r="AE27" s="13"/>
      <c r="AF27" s="13"/>
      <c r="AG27" s="13"/>
      <c r="AH27" s="13"/>
      <c r="AI27" s="13"/>
      <c r="AJ27" s="13"/>
      <c r="AK27" s="13"/>
      <c r="AL27" s="13"/>
      <c r="AM27" s="13"/>
      <c r="AN27" s="13"/>
      <c r="AO27" s="13"/>
      <c r="AP27" s="13"/>
      <c r="AQ27" s="13"/>
      <c r="AR27" s="13"/>
      <c r="AS27" s="13"/>
      <c r="AT27" s="13"/>
      <c r="AU27" s="13"/>
      <c r="AV27" s="13"/>
      <c r="AW27" s="13"/>
      <c r="AX27" s="13"/>
      <c r="AY27" s="13"/>
      <c r="AZ27" s="13"/>
      <c r="BA27" s="13"/>
      <c r="BB27" s="13"/>
      <c r="BC27" s="13"/>
      <c r="BD27" s="13"/>
      <c r="BE27" s="13"/>
      <c r="BF27" s="13"/>
      <c r="BG27" s="13"/>
      <c r="BH27" s="13"/>
    </row>
    <row r="28" spans="1:60" x14ac:dyDescent="0.3">
      <c r="A28" s="14"/>
      <c r="B28" s="14"/>
      <c r="C28" s="14"/>
      <c r="D28" s="14"/>
      <c r="E28" s="14"/>
      <c r="F28" s="14"/>
      <c r="G28" s="14"/>
      <c r="H28" s="14"/>
      <c r="I28" s="14"/>
      <c r="J28" s="14"/>
      <c r="K28" s="14"/>
      <c r="L28" s="14"/>
      <c r="M28" s="14"/>
      <c r="N28" s="14"/>
      <c r="O28" s="14"/>
      <c r="P28" s="14"/>
      <c r="Q28" s="14"/>
      <c r="R28" s="14"/>
      <c r="S28" s="14"/>
      <c r="T28" s="14"/>
      <c r="U28" s="14"/>
      <c r="V28" s="14"/>
      <c r="W28" s="14"/>
      <c r="X28" s="14"/>
      <c r="Y28" s="14"/>
      <c r="Z28" s="14"/>
      <c r="AA28" s="14"/>
      <c r="AB28" s="13"/>
      <c r="AC28" s="13"/>
      <c r="AD28" s="13"/>
      <c r="AE28" s="13"/>
      <c r="AF28" s="13"/>
      <c r="AG28" s="13"/>
      <c r="AH28" s="13"/>
      <c r="AI28" s="13"/>
      <c r="AJ28" s="13"/>
      <c r="AK28" s="13"/>
      <c r="AL28" s="13"/>
      <c r="AM28" s="13"/>
      <c r="AN28" s="13"/>
      <c r="AO28" s="13"/>
      <c r="AP28" s="13"/>
      <c r="AQ28" s="13"/>
      <c r="AR28" s="13"/>
      <c r="AS28" s="13"/>
      <c r="AT28" s="13"/>
      <c r="AU28" s="13"/>
      <c r="AV28" s="13"/>
      <c r="AW28" s="13"/>
      <c r="AX28" s="13"/>
      <c r="AY28" s="13"/>
      <c r="AZ28" s="13"/>
      <c r="BA28" s="13"/>
      <c r="BB28" s="13"/>
      <c r="BC28" s="13"/>
      <c r="BD28" s="13"/>
      <c r="BE28" s="13"/>
      <c r="BF28" s="13"/>
      <c r="BG28" s="13"/>
      <c r="BH28" s="13"/>
    </row>
    <row r="29" spans="1:60" x14ac:dyDescent="0.3">
      <c r="A29" s="14"/>
      <c r="B29" s="14"/>
      <c r="C29" s="14"/>
      <c r="D29" s="14"/>
      <c r="E29" s="14"/>
      <c r="F29" s="14"/>
      <c r="G29" s="14"/>
      <c r="H29" s="14"/>
      <c r="I29" s="14"/>
      <c r="J29" s="14"/>
      <c r="K29" s="14"/>
      <c r="L29" s="14"/>
      <c r="M29" s="14"/>
      <c r="N29" s="14"/>
      <c r="O29" s="14"/>
      <c r="P29" s="14"/>
      <c r="Q29" s="14"/>
      <c r="R29" s="14"/>
      <c r="S29" s="14"/>
      <c r="T29" s="14"/>
      <c r="U29" s="14"/>
      <c r="V29" s="14"/>
      <c r="W29" s="14"/>
      <c r="X29" s="14"/>
      <c r="Y29" s="14"/>
      <c r="Z29" s="14"/>
      <c r="AA29" s="14"/>
      <c r="AB29" s="13"/>
      <c r="AC29" s="13"/>
      <c r="AD29" s="13"/>
      <c r="AE29" s="13"/>
      <c r="AF29" s="13"/>
      <c r="AG29" s="13"/>
      <c r="AH29" s="13"/>
      <c r="AI29" s="13"/>
      <c r="AJ29" s="13"/>
      <c r="AK29" s="13"/>
      <c r="AL29" s="13"/>
      <c r="AM29" s="13"/>
      <c r="AN29" s="13"/>
      <c r="AO29" s="13"/>
      <c r="AP29" s="13"/>
      <c r="AQ29" s="13"/>
      <c r="AR29" s="13"/>
      <c r="AS29" s="13"/>
      <c r="AT29" s="13"/>
      <c r="AU29" s="13"/>
      <c r="AV29" s="13"/>
      <c r="AW29" s="13"/>
      <c r="AX29" s="13"/>
      <c r="AY29" s="13"/>
      <c r="AZ29" s="13"/>
      <c r="BA29" s="13"/>
      <c r="BB29" s="13"/>
      <c r="BC29" s="13"/>
      <c r="BD29" s="13"/>
      <c r="BE29" s="13"/>
      <c r="BF29" s="13"/>
      <c r="BG29" s="13"/>
      <c r="BH29" s="13"/>
    </row>
    <row r="30" spans="1:60" x14ac:dyDescent="0.3">
      <c r="A30" s="14"/>
      <c r="B30" s="14"/>
      <c r="C30" s="14"/>
      <c r="D30" s="14"/>
      <c r="E30" s="14"/>
      <c r="F30" s="14"/>
      <c r="G30" s="14"/>
      <c r="H30" s="14"/>
      <c r="I30" s="14"/>
      <c r="J30" s="14"/>
      <c r="K30" s="14"/>
      <c r="L30" s="14"/>
      <c r="M30" s="14"/>
      <c r="N30" s="14"/>
      <c r="O30" s="14"/>
      <c r="P30" s="14"/>
      <c r="Q30" s="14"/>
      <c r="R30" s="14"/>
      <c r="S30" s="14"/>
      <c r="T30" s="14"/>
      <c r="U30" s="14"/>
      <c r="V30" s="14"/>
      <c r="W30" s="14"/>
      <c r="X30" s="14"/>
      <c r="Y30" s="14"/>
      <c r="Z30" s="14"/>
      <c r="AA30" s="14"/>
      <c r="AB30" s="13"/>
      <c r="AC30" s="13"/>
      <c r="AD30" s="13"/>
      <c r="AE30" s="13"/>
      <c r="AF30" s="13"/>
      <c r="AG30" s="13"/>
      <c r="AH30" s="13"/>
      <c r="AI30" s="13"/>
      <c r="AJ30" s="13"/>
      <c r="AK30" s="13"/>
      <c r="AL30" s="13"/>
      <c r="AM30" s="13"/>
      <c r="AN30" s="13"/>
      <c r="AO30" s="13"/>
      <c r="AP30" s="13"/>
      <c r="AQ30" s="13"/>
      <c r="AR30" s="13"/>
      <c r="AS30" s="13"/>
      <c r="AT30" s="13"/>
      <c r="AU30" s="13"/>
      <c r="AV30" s="13"/>
      <c r="AW30" s="13"/>
      <c r="AX30" s="13"/>
      <c r="AY30" s="13"/>
      <c r="AZ30" s="13"/>
      <c r="BA30" s="13"/>
      <c r="BB30" s="13"/>
      <c r="BC30" s="13"/>
      <c r="BD30" s="13"/>
      <c r="BE30" s="13"/>
      <c r="BF30" s="13"/>
      <c r="BG30" s="13"/>
      <c r="BH30" s="13"/>
    </row>
    <row r="31" spans="1:60" x14ac:dyDescent="0.3">
      <c r="A31" s="14"/>
      <c r="B31" s="14"/>
      <c r="C31" s="14"/>
      <c r="D31" s="14"/>
      <c r="E31" s="14"/>
      <c r="F31" s="14"/>
      <c r="G31" s="14"/>
      <c r="H31" s="14"/>
      <c r="I31" s="14"/>
      <c r="J31" s="14"/>
      <c r="K31" s="14"/>
      <c r="L31" s="14"/>
      <c r="M31" s="14"/>
      <c r="N31" s="14"/>
      <c r="O31" s="14"/>
      <c r="P31" s="14"/>
      <c r="Q31" s="14"/>
      <c r="R31" s="14"/>
      <c r="S31" s="14"/>
      <c r="T31" s="14"/>
      <c r="U31" s="14"/>
      <c r="V31" s="14"/>
      <c r="W31" s="14"/>
      <c r="X31" s="14"/>
      <c r="Y31" s="14"/>
      <c r="Z31" s="14"/>
      <c r="AA31" s="14"/>
      <c r="AB31" s="13"/>
      <c r="AC31" s="13"/>
      <c r="AD31" s="13"/>
      <c r="AE31" s="13"/>
      <c r="AF31" s="13"/>
      <c r="AG31" s="13"/>
      <c r="AH31" s="13"/>
      <c r="AI31" s="13"/>
      <c r="AJ31" s="13"/>
      <c r="AK31" s="13"/>
      <c r="AL31" s="13"/>
      <c r="AM31" s="13"/>
      <c r="AN31" s="13"/>
      <c r="AO31" s="13"/>
      <c r="AP31" s="13"/>
      <c r="AQ31" s="13"/>
      <c r="AR31" s="13"/>
      <c r="AS31" s="13"/>
      <c r="AT31" s="13"/>
      <c r="AU31" s="13"/>
      <c r="AV31" s="13"/>
      <c r="AW31" s="13"/>
      <c r="AX31" s="13"/>
      <c r="AY31" s="13"/>
      <c r="AZ31" s="13"/>
      <c r="BA31" s="13"/>
      <c r="BB31" s="13"/>
      <c r="BC31" s="13"/>
      <c r="BD31" s="13"/>
      <c r="BE31" s="13"/>
      <c r="BF31" s="13"/>
      <c r="BG31" s="13"/>
      <c r="BH31" s="13"/>
    </row>
    <row r="32" spans="1:60" x14ac:dyDescent="0.3">
      <c r="A32" s="14"/>
      <c r="B32" s="14"/>
      <c r="C32" s="14"/>
      <c r="D32" s="14"/>
      <c r="E32" s="14"/>
      <c r="F32" s="14"/>
      <c r="G32" s="14"/>
      <c r="H32" s="14"/>
      <c r="I32" s="14"/>
      <c r="J32" s="14"/>
      <c r="K32" s="14"/>
      <c r="L32" s="14"/>
      <c r="M32" s="14"/>
      <c r="N32" s="14"/>
      <c r="O32" s="14"/>
      <c r="P32" s="14"/>
      <c r="Q32" s="14"/>
      <c r="R32" s="14"/>
      <c r="S32" s="14"/>
      <c r="T32" s="14"/>
      <c r="U32" s="14"/>
      <c r="V32" s="14"/>
      <c r="W32" s="14"/>
      <c r="X32" s="14"/>
      <c r="Y32" s="14"/>
      <c r="Z32" s="14"/>
      <c r="AA32" s="14"/>
      <c r="AB32" s="13"/>
      <c r="AC32" s="13"/>
      <c r="AD32" s="13"/>
      <c r="AE32" s="13"/>
      <c r="AF32" s="13"/>
      <c r="AG32" s="13"/>
      <c r="AH32" s="13"/>
      <c r="AI32" s="13"/>
      <c r="AJ32" s="13"/>
      <c r="AK32" s="13"/>
      <c r="AL32" s="13"/>
      <c r="AM32" s="13"/>
      <c r="AN32" s="13"/>
      <c r="AO32" s="13"/>
      <c r="AP32" s="13"/>
      <c r="AQ32" s="13"/>
      <c r="AR32" s="13"/>
      <c r="AS32" s="13"/>
      <c r="AT32" s="13"/>
      <c r="AU32" s="13"/>
      <c r="AV32" s="13"/>
      <c r="AW32" s="13"/>
      <c r="AX32" s="13"/>
      <c r="AY32" s="13"/>
      <c r="AZ32" s="13"/>
      <c r="BA32" s="13"/>
      <c r="BB32" s="13"/>
      <c r="BC32" s="13"/>
      <c r="BD32" s="13"/>
      <c r="BE32" s="13"/>
      <c r="BF32" s="13"/>
      <c r="BG32" s="13"/>
      <c r="BH32" s="13"/>
    </row>
    <row r="33" spans="1:60" x14ac:dyDescent="0.3">
      <c r="A33" s="14"/>
      <c r="B33" s="14"/>
      <c r="C33" s="14"/>
      <c r="D33" s="14"/>
      <c r="E33" s="14"/>
      <c r="F33" s="14"/>
      <c r="G33" s="14"/>
      <c r="H33" s="14"/>
      <c r="I33" s="14"/>
      <c r="J33" s="14"/>
      <c r="K33" s="14"/>
      <c r="L33" s="14"/>
      <c r="M33" s="14"/>
      <c r="N33" s="14"/>
      <c r="O33" s="14"/>
      <c r="P33" s="14"/>
      <c r="Q33" s="14"/>
      <c r="R33" s="14"/>
      <c r="S33" s="14"/>
      <c r="T33" s="14"/>
      <c r="U33" s="14"/>
      <c r="V33" s="14"/>
      <c r="W33" s="14"/>
      <c r="X33" s="14"/>
      <c r="Y33" s="14"/>
      <c r="Z33" s="14"/>
      <c r="AA33" s="14"/>
      <c r="AB33" s="13"/>
      <c r="AC33" s="13"/>
      <c r="AD33" s="13"/>
      <c r="AE33" s="13"/>
      <c r="AF33" s="13"/>
      <c r="AG33" s="13"/>
      <c r="AH33" s="13"/>
      <c r="AI33" s="13"/>
      <c r="AJ33" s="13"/>
      <c r="AK33" s="13"/>
      <c r="AL33" s="13"/>
      <c r="AM33" s="13"/>
      <c r="AN33" s="13"/>
      <c r="AO33" s="13"/>
      <c r="AP33" s="13"/>
      <c r="AQ33" s="13"/>
      <c r="AR33" s="13"/>
      <c r="AS33" s="13"/>
      <c r="AT33" s="13"/>
      <c r="AU33" s="13"/>
      <c r="AV33" s="13"/>
      <c r="AW33" s="13"/>
      <c r="AX33" s="13"/>
      <c r="AY33" s="13"/>
      <c r="AZ33" s="13"/>
      <c r="BA33" s="13"/>
      <c r="BB33" s="13"/>
      <c r="BC33" s="13"/>
      <c r="BD33" s="13"/>
      <c r="BE33" s="13"/>
      <c r="BF33" s="13"/>
      <c r="BG33" s="13"/>
      <c r="BH33" s="13"/>
    </row>
    <row r="34" spans="1:60" x14ac:dyDescent="0.3">
      <c r="A34" s="14"/>
      <c r="B34" s="14"/>
      <c r="C34" s="14"/>
      <c r="D34" s="14"/>
      <c r="E34" s="14"/>
      <c r="F34" s="14"/>
      <c r="G34" s="14"/>
      <c r="H34" s="14"/>
      <c r="I34" s="14"/>
      <c r="J34" s="14"/>
      <c r="K34" s="14"/>
      <c r="L34" s="14"/>
      <c r="M34" s="14"/>
      <c r="N34" s="14"/>
      <c r="O34" s="14"/>
      <c r="P34" s="14"/>
      <c r="Q34" s="14"/>
      <c r="R34" s="14"/>
      <c r="S34" s="14"/>
      <c r="T34" s="14"/>
      <c r="U34" s="14"/>
      <c r="V34" s="14"/>
      <c r="W34" s="14"/>
      <c r="X34" s="14"/>
      <c r="Y34" s="14"/>
      <c r="Z34" s="14"/>
      <c r="AA34" s="14"/>
      <c r="AB34" s="13"/>
      <c r="AC34" s="13"/>
      <c r="AD34" s="13"/>
      <c r="AE34" s="13"/>
      <c r="AF34" s="13"/>
      <c r="AG34" s="13"/>
      <c r="AH34" s="13"/>
      <c r="AI34" s="13"/>
      <c r="AJ34" s="13"/>
      <c r="AK34" s="13"/>
      <c r="AL34" s="13"/>
      <c r="AM34" s="13"/>
      <c r="AN34" s="13"/>
      <c r="AO34" s="13"/>
      <c r="AP34" s="13"/>
      <c r="AQ34" s="13"/>
      <c r="AR34" s="13"/>
      <c r="AS34" s="13"/>
      <c r="AT34" s="13"/>
      <c r="AU34" s="13"/>
      <c r="AV34" s="13"/>
      <c r="AW34" s="13"/>
      <c r="AX34" s="13"/>
      <c r="AY34" s="13"/>
      <c r="AZ34" s="13"/>
      <c r="BA34" s="13"/>
      <c r="BB34" s="13"/>
      <c r="BC34" s="13"/>
      <c r="BD34" s="13"/>
      <c r="BE34" s="13"/>
      <c r="BF34" s="13"/>
      <c r="BG34" s="13"/>
      <c r="BH34" s="13"/>
    </row>
    <row r="35" spans="1:60" x14ac:dyDescent="0.3">
      <c r="A35" s="14"/>
      <c r="B35" s="14"/>
      <c r="C35" s="14"/>
      <c r="D35" s="14"/>
      <c r="E35" s="14"/>
      <c r="F35" s="14"/>
      <c r="G35" s="14"/>
      <c r="H35" s="14"/>
      <c r="I35" s="14"/>
      <c r="J35" s="14"/>
      <c r="K35" s="14"/>
      <c r="L35" s="14"/>
      <c r="M35" s="14"/>
      <c r="N35" s="14"/>
      <c r="O35" s="14"/>
      <c r="P35" s="14"/>
      <c r="Q35" s="14"/>
      <c r="R35" s="14"/>
      <c r="S35" s="14"/>
      <c r="T35" s="14"/>
      <c r="U35" s="14"/>
      <c r="V35" s="14"/>
      <c r="W35" s="14"/>
      <c r="X35" s="14"/>
      <c r="Y35" s="14"/>
      <c r="Z35" s="14"/>
      <c r="AA35" s="14"/>
      <c r="AB35" s="13"/>
      <c r="AC35" s="13"/>
      <c r="AD35" s="13"/>
      <c r="AE35" s="13"/>
      <c r="AF35" s="13"/>
      <c r="AG35" s="13"/>
      <c r="AH35" s="13"/>
      <c r="AI35" s="13"/>
      <c r="AJ35" s="13"/>
      <c r="AK35" s="13"/>
      <c r="AL35" s="13"/>
      <c r="AM35" s="13"/>
      <c r="AN35" s="13"/>
      <c r="AO35" s="13"/>
      <c r="AP35" s="13"/>
      <c r="AQ35" s="13"/>
      <c r="AR35" s="13"/>
      <c r="AS35" s="13"/>
      <c r="AT35" s="13"/>
      <c r="AU35" s="13"/>
      <c r="AV35" s="13"/>
      <c r="AW35" s="13"/>
      <c r="AX35" s="13"/>
      <c r="AY35" s="13"/>
      <c r="AZ35" s="13"/>
      <c r="BA35" s="13"/>
      <c r="BB35" s="13"/>
      <c r="BC35" s="13"/>
      <c r="BD35" s="13"/>
      <c r="BE35" s="13"/>
      <c r="BF35" s="13"/>
      <c r="BG35" s="13"/>
      <c r="BH35" s="13"/>
    </row>
    <row r="36" spans="1:60" x14ac:dyDescent="0.3">
      <c r="A36" s="14"/>
      <c r="B36" s="14"/>
      <c r="C36" s="14"/>
      <c r="D36" s="14"/>
      <c r="E36" s="14"/>
      <c r="F36" s="14"/>
      <c r="G36" s="14"/>
      <c r="H36" s="14"/>
      <c r="I36" s="14"/>
      <c r="J36" s="14"/>
      <c r="K36" s="14"/>
      <c r="L36" s="14"/>
      <c r="M36" s="14"/>
      <c r="N36" s="14"/>
      <c r="O36" s="14"/>
      <c r="P36" s="14"/>
      <c r="Q36" s="14"/>
      <c r="R36" s="14"/>
      <c r="S36" s="14"/>
      <c r="T36" s="14"/>
      <c r="U36" s="14"/>
      <c r="V36" s="14"/>
      <c r="W36" s="14"/>
      <c r="X36" s="14"/>
      <c r="Y36" s="14"/>
      <c r="Z36" s="14"/>
      <c r="AA36" s="14"/>
      <c r="AB36" s="13"/>
      <c r="AC36" s="13"/>
      <c r="AD36" s="13"/>
      <c r="AE36" s="13"/>
      <c r="AF36" s="13"/>
      <c r="AG36" s="13"/>
      <c r="AH36" s="13"/>
      <c r="AI36" s="13"/>
      <c r="AJ36" s="13"/>
      <c r="AK36" s="13"/>
      <c r="AL36" s="13"/>
      <c r="AM36" s="13"/>
      <c r="AN36" s="13"/>
      <c r="AO36" s="13"/>
      <c r="AP36" s="13"/>
      <c r="AQ36" s="13"/>
      <c r="AR36" s="13"/>
      <c r="AS36" s="13"/>
      <c r="AT36" s="13"/>
      <c r="AU36" s="13"/>
      <c r="AV36" s="13"/>
      <c r="AW36" s="13"/>
      <c r="AX36" s="13"/>
      <c r="AY36" s="13"/>
      <c r="AZ36" s="13"/>
      <c r="BA36" s="13"/>
      <c r="BB36" s="13"/>
      <c r="BC36" s="13"/>
      <c r="BD36" s="13"/>
      <c r="BE36" s="13"/>
      <c r="BF36" s="13"/>
      <c r="BG36" s="13"/>
      <c r="BH36" s="13"/>
    </row>
    <row r="37" spans="1:60" x14ac:dyDescent="0.3">
      <c r="A37" s="14"/>
      <c r="B37" s="14"/>
      <c r="C37" s="14"/>
      <c r="D37" s="14"/>
      <c r="E37" s="14"/>
      <c r="F37" s="14"/>
      <c r="G37" s="14"/>
      <c r="H37" s="14"/>
      <c r="I37" s="14"/>
      <c r="J37" s="14"/>
      <c r="K37" s="14"/>
      <c r="L37" s="14"/>
      <c r="M37" s="14"/>
      <c r="N37" s="14"/>
      <c r="O37" s="14"/>
      <c r="P37" s="14"/>
      <c r="Q37" s="14"/>
      <c r="R37" s="14"/>
      <c r="S37" s="14"/>
      <c r="T37" s="14"/>
      <c r="U37" s="14"/>
      <c r="V37" s="14"/>
      <c r="W37" s="14"/>
      <c r="X37" s="14"/>
      <c r="Y37" s="14"/>
      <c r="Z37" s="14"/>
      <c r="AA37" s="14"/>
      <c r="AB37" s="13"/>
      <c r="AC37" s="13"/>
      <c r="AD37" s="13"/>
      <c r="AE37" s="13"/>
      <c r="AF37" s="13"/>
      <c r="AG37" s="13"/>
      <c r="AH37" s="13"/>
      <c r="AI37" s="13"/>
      <c r="AJ37" s="13"/>
      <c r="AK37" s="13"/>
      <c r="AL37" s="13"/>
      <c r="AM37" s="13"/>
      <c r="AN37" s="13"/>
      <c r="AO37" s="13"/>
      <c r="AP37" s="13"/>
      <c r="AQ37" s="13"/>
      <c r="AR37" s="13"/>
      <c r="AS37" s="13"/>
      <c r="AT37" s="13"/>
      <c r="AU37" s="13"/>
      <c r="AV37" s="13"/>
      <c r="AW37" s="13"/>
      <c r="AX37" s="13"/>
      <c r="AY37" s="13"/>
      <c r="AZ37" s="13"/>
      <c r="BA37" s="13"/>
      <c r="BB37" s="13"/>
      <c r="BC37" s="13"/>
      <c r="BD37" s="13"/>
      <c r="BE37" s="13"/>
      <c r="BF37" s="13"/>
      <c r="BG37" s="13"/>
      <c r="BH37" s="13"/>
    </row>
    <row r="38" spans="1:60" x14ac:dyDescent="0.3">
      <c r="A38" s="14"/>
      <c r="B38" s="14"/>
      <c r="C38" s="14"/>
      <c r="D38" s="14"/>
      <c r="E38" s="14"/>
      <c r="F38" s="14"/>
      <c r="G38" s="14"/>
      <c r="H38" s="14"/>
      <c r="I38" s="14"/>
      <c r="J38" s="14"/>
      <c r="K38" s="14"/>
      <c r="L38" s="14"/>
      <c r="M38" s="14"/>
      <c r="N38" s="14"/>
      <c r="O38" s="14"/>
      <c r="P38" s="14"/>
      <c r="Q38" s="14"/>
      <c r="R38" s="14"/>
      <c r="S38" s="14"/>
      <c r="T38" s="14"/>
      <c r="U38" s="14"/>
      <c r="V38" s="14"/>
      <c r="W38" s="14"/>
      <c r="X38" s="14"/>
      <c r="Y38" s="14"/>
      <c r="Z38" s="14"/>
      <c r="AA38" s="14"/>
      <c r="AB38" s="13"/>
      <c r="AC38" s="13"/>
      <c r="AD38" s="13"/>
      <c r="AE38" s="13"/>
      <c r="AF38" s="13"/>
      <c r="AG38" s="13"/>
      <c r="AH38" s="13"/>
      <c r="AI38" s="13"/>
      <c r="AJ38" s="13"/>
      <c r="AK38" s="13"/>
      <c r="AL38" s="13"/>
      <c r="AM38" s="13"/>
      <c r="AN38" s="13"/>
      <c r="AO38" s="13"/>
      <c r="AP38" s="13"/>
      <c r="AQ38" s="13"/>
      <c r="AR38" s="13"/>
      <c r="AS38" s="13"/>
      <c r="AT38" s="13"/>
      <c r="AU38" s="13"/>
      <c r="AV38" s="13"/>
      <c r="AW38" s="13"/>
      <c r="AX38" s="13"/>
      <c r="AY38" s="13"/>
      <c r="AZ38" s="13"/>
      <c r="BA38" s="13"/>
      <c r="BB38" s="13"/>
      <c r="BC38" s="13"/>
      <c r="BD38" s="13"/>
      <c r="BE38" s="13"/>
      <c r="BF38" s="13"/>
      <c r="BG38" s="13"/>
      <c r="BH38" s="13"/>
    </row>
    <row r="39" spans="1:60" x14ac:dyDescent="0.3">
      <c r="A39" s="14"/>
      <c r="B39" s="14"/>
      <c r="C39" s="14"/>
      <c r="D39" s="14"/>
      <c r="E39" s="14"/>
      <c r="F39" s="14"/>
      <c r="G39" s="14"/>
      <c r="H39" s="14"/>
      <c r="I39" s="14"/>
      <c r="J39" s="14"/>
      <c r="K39" s="14"/>
      <c r="L39" s="14"/>
      <c r="M39" s="14"/>
      <c r="N39" s="14"/>
      <c r="O39" s="14"/>
      <c r="P39" s="14"/>
      <c r="Q39" s="14"/>
      <c r="R39" s="14"/>
      <c r="S39" s="14"/>
      <c r="T39" s="14"/>
      <c r="U39" s="14"/>
      <c r="V39" s="14"/>
      <c r="W39" s="14"/>
      <c r="X39" s="14"/>
      <c r="Y39" s="14"/>
      <c r="Z39" s="14"/>
      <c r="AA39" s="14"/>
      <c r="AB39" s="13"/>
      <c r="AC39" s="13"/>
      <c r="AD39" s="13"/>
      <c r="AE39" s="13"/>
      <c r="AF39" s="13"/>
      <c r="AG39" s="13"/>
      <c r="AH39" s="13"/>
      <c r="AI39" s="13"/>
      <c r="AJ39" s="13"/>
      <c r="AK39" s="13"/>
      <c r="AL39" s="13"/>
      <c r="AM39" s="13"/>
      <c r="AN39" s="13"/>
      <c r="AO39" s="13"/>
      <c r="AP39" s="13"/>
      <c r="AQ39" s="13"/>
      <c r="AR39" s="13"/>
      <c r="AS39" s="13"/>
      <c r="AT39" s="13"/>
      <c r="AU39" s="13"/>
      <c r="AV39" s="13"/>
      <c r="AW39" s="13"/>
      <c r="AX39" s="13"/>
      <c r="AY39" s="13"/>
      <c r="AZ39" s="13"/>
      <c r="BA39" s="13"/>
      <c r="BB39" s="13"/>
      <c r="BC39" s="13"/>
      <c r="BD39" s="13"/>
      <c r="BE39" s="13"/>
      <c r="BF39" s="13"/>
      <c r="BG39" s="13"/>
      <c r="BH39" s="13"/>
    </row>
    <row r="40" spans="1:60" x14ac:dyDescent="0.3">
      <c r="A40" s="14"/>
      <c r="B40" s="14"/>
      <c r="C40" s="14"/>
      <c r="D40" s="14"/>
      <c r="E40" s="14"/>
      <c r="F40" s="14"/>
      <c r="G40" s="14"/>
      <c r="H40" s="14"/>
      <c r="I40" s="14"/>
      <c r="J40" s="14"/>
      <c r="K40" s="14"/>
      <c r="L40" s="14"/>
      <c r="M40" s="14"/>
      <c r="N40" s="14"/>
      <c r="O40" s="14"/>
      <c r="P40" s="14"/>
      <c r="Q40" s="14"/>
      <c r="R40" s="14"/>
      <c r="S40" s="14"/>
      <c r="T40" s="14"/>
      <c r="U40" s="14"/>
      <c r="V40" s="14"/>
      <c r="W40" s="14"/>
      <c r="X40" s="14"/>
      <c r="Y40" s="14"/>
      <c r="Z40" s="14"/>
      <c r="AA40" s="14"/>
      <c r="AB40" s="13"/>
      <c r="AC40" s="13"/>
      <c r="AD40" s="13"/>
      <c r="AE40" s="13"/>
      <c r="AF40" s="13"/>
      <c r="AG40" s="13"/>
      <c r="AH40" s="13"/>
      <c r="AI40" s="13"/>
      <c r="AJ40" s="13"/>
      <c r="AK40" s="13"/>
      <c r="AL40" s="13"/>
      <c r="AM40" s="13"/>
      <c r="AN40" s="13"/>
      <c r="AO40" s="13"/>
      <c r="AP40" s="13"/>
      <c r="AQ40" s="13"/>
      <c r="AR40" s="13"/>
      <c r="AS40" s="13"/>
      <c r="AT40" s="13"/>
      <c r="AU40" s="13"/>
      <c r="AV40" s="13"/>
      <c r="AW40" s="13"/>
      <c r="AX40" s="13"/>
      <c r="AY40" s="13"/>
      <c r="AZ40" s="13"/>
      <c r="BA40" s="13"/>
      <c r="BB40" s="13"/>
      <c r="BC40" s="13"/>
      <c r="BD40" s="13"/>
      <c r="BE40" s="13"/>
      <c r="BF40" s="13"/>
      <c r="BG40" s="13"/>
      <c r="BH40" s="13"/>
    </row>
    <row r="41" spans="1:60" x14ac:dyDescent="0.3">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c r="AA41" s="13"/>
      <c r="AB41" s="13"/>
      <c r="AC41" s="13"/>
      <c r="AD41" s="13"/>
      <c r="AE41" s="13"/>
      <c r="AF41" s="13"/>
      <c r="AG41" s="13"/>
      <c r="AH41" s="13"/>
      <c r="AI41" s="13"/>
      <c r="AJ41" s="13"/>
      <c r="AK41" s="13"/>
      <c r="AL41" s="13"/>
      <c r="AM41" s="13"/>
      <c r="AN41" s="13"/>
      <c r="AO41" s="13"/>
      <c r="AP41" s="13"/>
      <c r="AQ41" s="13"/>
      <c r="AR41" s="13"/>
      <c r="AS41" s="13"/>
      <c r="AT41" s="13"/>
      <c r="AU41" s="13"/>
      <c r="AV41" s="13"/>
      <c r="AW41" s="13"/>
      <c r="AX41" s="13"/>
      <c r="AY41" s="13"/>
      <c r="AZ41" s="13"/>
      <c r="BA41" s="13"/>
      <c r="BB41" s="13"/>
      <c r="BC41" s="13"/>
      <c r="BD41" s="13"/>
      <c r="BE41" s="13"/>
      <c r="BF41" s="13"/>
      <c r="BG41" s="13"/>
      <c r="BH41" s="13"/>
    </row>
    <row r="42" spans="1:60" x14ac:dyDescent="0.3">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c r="AA42" s="13"/>
      <c r="AB42" s="13"/>
      <c r="AC42" s="13"/>
      <c r="AD42" s="13"/>
      <c r="AE42" s="13"/>
      <c r="AF42" s="13"/>
      <c r="AG42" s="13"/>
      <c r="AH42" s="13"/>
      <c r="AI42" s="13"/>
      <c r="AJ42" s="13"/>
      <c r="AK42" s="13"/>
      <c r="AL42" s="13"/>
      <c r="AM42" s="13"/>
      <c r="AN42" s="13"/>
      <c r="AO42" s="13"/>
      <c r="AP42" s="13"/>
      <c r="AQ42" s="13"/>
      <c r="AR42" s="13"/>
      <c r="AS42" s="13"/>
      <c r="AT42" s="13"/>
      <c r="AU42" s="13"/>
      <c r="AV42" s="13"/>
      <c r="AW42" s="13"/>
      <c r="AX42" s="13"/>
      <c r="AY42" s="13"/>
      <c r="AZ42" s="13"/>
      <c r="BA42" s="13"/>
      <c r="BB42" s="13"/>
      <c r="BC42" s="13"/>
      <c r="BD42" s="13"/>
      <c r="BE42" s="13"/>
      <c r="BF42" s="13"/>
      <c r="BG42" s="13"/>
      <c r="BH42" s="13"/>
    </row>
    <row r="43" spans="1:60" x14ac:dyDescent="0.3">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c r="AA43" s="13"/>
      <c r="AB43" s="13"/>
      <c r="AC43" s="13"/>
      <c r="AD43" s="13"/>
      <c r="AE43" s="13"/>
      <c r="AF43" s="13"/>
      <c r="AG43" s="13"/>
      <c r="AH43" s="13"/>
      <c r="AI43" s="13"/>
      <c r="AJ43" s="13"/>
      <c r="AK43" s="13"/>
      <c r="AL43" s="13"/>
      <c r="AM43" s="13"/>
      <c r="AN43" s="13"/>
      <c r="AO43" s="13"/>
      <c r="AP43" s="13"/>
      <c r="AQ43" s="13"/>
      <c r="AR43" s="13"/>
      <c r="AS43" s="13"/>
      <c r="AT43" s="13"/>
      <c r="AU43" s="13"/>
      <c r="AV43" s="13"/>
      <c r="AW43" s="13"/>
      <c r="AX43" s="13"/>
      <c r="AY43" s="13"/>
      <c r="AZ43" s="13"/>
      <c r="BA43" s="13"/>
      <c r="BB43" s="13"/>
      <c r="BC43" s="13"/>
      <c r="BD43" s="13"/>
      <c r="BE43" s="13"/>
      <c r="BF43" s="13"/>
      <c r="BG43" s="13"/>
      <c r="BH43" s="13"/>
    </row>
    <row r="44" spans="1:60" x14ac:dyDescent="0.3">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c r="AA44" s="13"/>
      <c r="AB44" s="13"/>
      <c r="AC44" s="13"/>
      <c r="AD44" s="13"/>
      <c r="AE44" s="13"/>
      <c r="AF44" s="13"/>
      <c r="AG44" s="13"/>
      <c r="AH44" s="13"/>
      <c r="AI44" s="13"/>
      <c r="AJ44" s="13"/>
      <c r="AK44" s="13"/>
      <c r="AL44" s="13"/>
      <c r="AM44" s="13"/>
      <c r="AN44" s="13"/>
      <c r="AO44" s="13"/>
      <c r="AP44" s="13"/>
      <c r="AQ44" s="13"/>
      <c r="AR44" s="13"/>
      <c r="AS44" s="13"/>
      <c r="AT44" s="13"/>
      <c r="AU44" s="13"/>
      <c r="AV44" s="13"/>
      <c r="AW44" s="13"/>
      <c r="AX44" s="13"/>
      <c r="AY44" s="13"/>
      <c r="AZ44" s="13"/>
      <c r="BA44" s="13"/>
      <c r="BB44" s="13"/>
      <c r="BC44" s="13"/>
      <c r="BD44" s="13"/>
      <c r="BE44" s="13"/>
      <c r="BF44" s="13"/>
      <c r="BG44" s="13"/>
      <c r="BH44" s="13"/>
    </row>
    <row r="45" spans="1:60" x14ac:dyDescent="0.3">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c r="AA45" s="13"/>
      <c r="AB45" s="13"/>
      <c r="AC45" s="13"/>
      <c r="AD45" s="13"/>
      <c r="AE45" s="13"/>
      <c r="AF45" s="13"/>
      <c r="AG45" s="13"/>
      <c r="AH45" s="13"/>
      <c r="AI45" s="13"/>
      <c r="AJ45" s="13"/>
      <c r="AK45" s="13"/>
      <c r="AL45" s="13"/>
      <c r="AM45" s="13"/>
      <c r="AN45" s="13"/>
      <c r="AO45" s="13"/>
      <c r="AP45" s="13"/>
      <c r="AQ45" s="13"/>
      <c r="AR45" s="13"/>
      <c r="AS45" s="13"/>
      <c r="AT45" s="13"/>
      <c r="AU45" s="13"/>
      <c r="AV45" s="13"/>
      <c r="AW45" s="13"/>
      <c r="AX45" s="13"/>
      <c r="AY45" s="13"/>
      <c r="AZ45" s="13"/>
      <c r="BA45" s="13"/>
      <c r="BB45" s="13"/>
      <c r="BC45" s="13"/>
      <c r="BD45" s="13"/>
      <c r="BE45" s="13"/>
      <c r="BF45" s="13"/>
      <c r="BG45" s="13"/>
      <c r="BH45" s="13"/>
    </row>
    <row r="46" spans="1:60" x14ac:dyDescent="0.3">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c r="AA46" s="13"/>
      <c r="AB46" s="13"/>
      <c r="AC46" s="13"/>
      <c r="AD46" s="13"/>
      <c r="AE46" s="13"/>
      <c r="AF46" s="13"/>
      <c r="AG46" s="13"/>
      <c r="AH46" s="13"/>
      <c r="AI46" s="13"/>
      <c r="AJ46" s="13"/>
      <c r="AK46" s="13"/>
      <c r="AL46" s="13"/>
      <c r="AM46" s="13"/>
      <c r="AN46" s="13"/>
      <c r="AO46" s="13"/>
      <c r="AP46" s="13"/>
      <c r="AQ46" s="13"/>
      <c r="AR46" s="13"/>
      <c r="AS46" s="13"/>
      <c r="AT46" s="13"/>
      <c r="AU46" s="13"/>
      <c r="AV46" s="13"/>
      <c r="AW46" s="13"/>
      <c r="AX46" s="13"/>
      <c r="AY46" s="13"/>
      <c r="AZ46" s="13"/>
      <c r="BA46" s="13"/>
      <c r="BB46" s="13"/>
      <c r="BC46" s="13"/>
      <c r="BD46" s="13"/>
      <c r="BE46" s="13"/>
      <c r="BF46" s="13"/>
      <c r="BG46" s="13"/>
      <c r="BH46" s="13"/>
    </row>
    <row r="47" spans="1:60" x14ac:dyDescent="0.3">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c r="AA47" s="13"/>
      <c r="AB47" s="13"/>
      <c r="AC47" s="13"/>
      <c r="AD47" s="13"/>
      <c r="AE47" s="13"/>
      <c r="AF47" s="13"/>
      <c r="AG47" s="13"/>
      <c r="AH47" s="13"/>
      <c r="AI47" s="13"/>
      <c r="AJ47" s="13"/>
      <c r="AK47" s="13"/>
      <c r="AL47" s="13"/>
      <c r="AM47" s="13"/>
      <c r="AN47" s="13"/>
      <c r="AO47" s="13"/>
      <c r="AP47" s="13"/>
      <c r="AQ47" s="13"/>
      <c r="AR47" s="13"/>
      <c r="AS47" s="13"/>
      <c r="AT47" s="13"/>
      <c r="AU47" s="13"/>
      <c r="AV47" s="13"/>
      <c r="AW47" s="13"/>
      <c r="AX47" s="13"/>
      <c r="AY47" s="13"/>
      <c r="AZ47" s="13"/>
      <c r="BA47" s="13"/>
      <c r="BB47" s="13"/>
      <c r="BC47" s="13"/>
      <c r="BD47" s="13"/>
      <c r="BE47" s="13"/>
      <c r="BF47" s="13"/>
      <c r="BG47" s="13"/>
      <c r="BH47" s="13"/>
    </row>
    <row r="48" spans="1:60" x14ac:dyDescent="0.3">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c r="AA48" s="13"/>
      <c r="AB48" s="13"/>
      <c r="AC48" s="13"/>
      <c r="AD48" s="13"/>
      <c r="AE48" s="13"/>
      <c r="AF48" s="13"/>
      <c r="AG48" s="13"/>
      <c r="AH48" s="13"/>
      <c r="AI48" s="13"/>
      <c r="AJ48" s="13"/>
      <c r="AK48" s="13"/>
      <c r="AL48" s="13"/>
      <c r="AM48" s="13"/>
      <c r="AN48" s="13"/>
      <c r="AO48" s="13"/>
      <c r="AP48" s="13"/>
      <c r="AQ48" s="13"/>
      <c r="AR48" s="13"/>
      <c r="AS48" s="13"/>
      <c r="AT48" s="13"/>
      <c r="AU48" s="13"/>
      <c r="AV48" s="13"/>
      <c r="AW48" s="13"/>
      <c r="AX48" s="13"/>
      <c r="AY48" s="13"/>
      <c r="AZ48" s="13"/>
      <c r="BA48" s="13"/>
      <c r="BB48" s="13"/>
      <c r="BC48" s="13"/>
      <c r="BD48" s="13"/>
      <c r="BE48" s="13"/>
      <c r="BF48" s="13"/>
      <c r="BG48" s="13"/>
      <c r="BH48" s="13"/>
    </row>
    <row r="49" spans="1:60" x14ac:dyDescent="0.3">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c r="AA49" s="13"/>
      <c r="AB49" s="13"/>
      <c r="AC49" s="13"/>
      <c r="AD49" s="13"/>
      <c r="AE49" s="13"/>
      <c r="AF49" s="13"/>
      <c r="AG49" s="13"/>
      <c r="AH49" s="13"/>
      <c r="AI49" s="13"/>
      <c r="AJ49" s="13"/>
      <c r="AK49" s="13"/>
      <c r="AL49" s="13"/>
      <c r="AM49" s="13"/>
      <c r="AN49" s="13"/>
      <c r="AO49" s="13"/>
      <c r="AP49" s="13"/>
      <c r="AQ49" s="13"/>
      <c r="AR49" s="13"/>
      <c r="AS49" s="13"/>
      <c r="AT49" s="13"/>
      <c r="AU49" s="13"/>
      <c r="AV49" s="13"/>
      <c r="AW49" s="13"/>
      <c r="AX49" s="13"/>
      <c r="AY49" s="13"/>
      <c r="AZ49" s="13"/>
      <c r="BA49" s="13"/>
      <c r="BB49" s="13"/>
      <c r="BC49" s="13"/>
      <c r="BD49" s="13"/>
      <c r="BE49" s="13"/>
      <c r="BF49" s="13"/>
      <c r="BG49" s="13"/>
      <c r="BH49" s="13"/>
    </row>
    <row r="50" spans="1:60" x14ac:dyDescent="0.3">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c r="AA50" s="13"/>
      <c r="AB50" s="13"/>
      <c r="AC50" s="13"/>
      <c r="AD50" s="13"/>
      <c r="AE50" s="13"/>
      <c r="AF50" s="13"/>
      <c r="AG50" s="13"/>
      <c r="AH50" s="13"/>
      <c r="AI50" s="13"/>
      <c r="AJ50" s="13"/>
      <c r="AK50" s="13"/>
      <c r="AL50" s="13"/>
      <c r="AM50" s="13"/>
      <c r="AN50" s="13"/>
      <c r="AO50" s="13"/>
      <c r="AP50" s="13"/>
      <c r="AQ50" s="13"/>
      <c r="AR50" s="13"/>
      <c r="AS50" s="13"/>
      <c r="AT50" s="13"/>
      <c r="AU50" s="13"/>
      <c r="AV50" s="13"/>
      <c r="AW50" s="13"/>
      <c r="AX50" s="13"/>
      <c r="AY50" s="13"/>
      <c r="AZ50" s="13"/>
      <c r="BA50" s="13"/>
      <c r="BB50" s="13"/>
      <c r="BC50" s="13"/>
      <c r="BD50" s="13"/>
      <c r="BE50" s="13"/>
      <c r="BF50" s="13"/>
      <c r="BG50" s="13"/>
      <c r="BH50" s="13"/>
    </row>
    <row r="51" spans="1:60" x14ac:dyDescent="0.3">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c r="AA51" s="13"/>
      <c r="AB51" s="13"/>
      <c r="AC51" s="13"/>
      <c r="AD51" s="13"/>
      <c r="AE51" s="13"/>
      <c r="AF51" s="13"/>
      <c r="AG51" s="13"/>
      <c r="AH51" s="13"/>
      <c r="AI51" s="13"/>
      <c r="AJ51" s="13"/>
      <c r="AK51" s="13"/>
      <c r="AL51" s="13"/>
      <c r="AM51" s="13"/>
      <c r="AN51" s="13"/>
      <c r="AO51" s="13"/>
      <c r="AP51" s="13"/>
      <c r="AQ51" s="13"/>
      <c r="AR51" s="13"/>
      <c r="AS51" s="13"/>
      <c r="AT51" s="13"/>
      <c r="AU51" s="13"/>
      <c r="AV51" s="13"/>
      <c r="AW51" s="13"/>
      <c r="AX51" s="13"/>
      <c r="AY51" s="13"/>
      <c r="AZ51" s="13"/>
      <c r="BA51" s="13"/>
      <c r="BB51" s="13"/>
      <c r="BC51" s="13"/>
      <c r="BD51" s="13"/>
      <c r="BE51" s="13"/>
      <c r="BF51" s="13"/>
      <c r="BG51" s="13"/>
      <c r="BH51" s="13"/>
    </row>
    <row r="52" spans="1:60" x14ac:dyDescent="0.3">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c r="AA52" s="13"/>
      <c r="AB52" s="13"/>
      <c r="AC52" s="13"/>
      <c r="AD52" s="13"/>
      <c r="AE52" s="13"/>
      <c r="AF52" s="13"/>
      <c r="AG52" s="13"/>
      <c r="AH52" s="13"/>
      <c r="AI52" s="13"/>
      <c r="AJ52" s="13"/>
      <c r="AK52" s="13"/>
      <c r="AL52" s="13"/>
      <c r="AM52" s="13"/>
      <c r="AN52" s="13"/>
      <c r="AO52" s="13"/>
      <c r="AP52" s="13"/>
      <c r="AQ52" s="13"/>
      <c r="AR52" s="13"/>
      <c r="AS52" s="13"/>
      <c r="AT52" s="13"/>
      <c r="AU52" s="13"/>
      <c r="AV52" s="13"/>
      <c r="AW52" s="13"/>
      <c r="AX52" s="13"/>
      <c r="AY52" s="13"/>
      <c r="AZ52" s="13"/>
      <c r="BA52" s="13"/>
      <c r="BB52" s="13"/>
      <c r="BC52" s="13"/>
      <c r="BD52" s="13"/>
      <c r="BE52" s="13"/>
      <c r="BF52" s="13"/>
      <c r="BG52" s="13"/>
      <c r="BH52" s="13"/>
    </row>
    <row r="53" spans="1:60" x14ac:dyDescent="0.3">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c r="AA53" s="13"/>
      <c r="AB53" s="13"/>
      <c r="AC53" s="13"/>
      <c r="AD53" s="13"/>
      <c r="AE53" s="13"/>
      <c r="AF53" s="13"/>
      <c r="AG53" s="13"/>
      <c r="AH53" s="13"/>
      <c r="AI53" s="13"/>
      <c r="AJ53" s="13"/>
      <c r="AK53" s="13"/>
      <c r="AL53" s="13"/>
      <c r="AM53" s="13"/>
      <c r="AN53" s="13"/>
      <c r="AO53" s="13"/>
      <c r="AP53" s="13"/>
      <c r="AQ53" s="13"/>
      <c r="AR53" s="13"/>
      <c r="AS53" s="13"/>
      <c r="AT53" s="13"/>
      <c r="AU53" s="13"/>
      <c r="AV53" s="13"/>
      <c r="AW53" s="13"/>
      <c r="AX53" s="13"/>
      <c r="AY53" s="13"/>
      <c r="AZ53" s="13"/>
      <c r="BA53" s="13"/>
      <c r="BB53" s="13"/>
      <c r="BC53" s="13"/>
      <c r="BD53" s="13"/>
      <c r="BE53" s="13"/>
      <c r="BF53" s="13"/>
      <c r="BG53" s="13"/>
      <c r="BH53" s="13"/>
    </row>
    <row r="54" spans="1:60" x14ac:dyDescent="0.3">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c r="AA54" s="13"/>
      <c r="AB54" s="13"/>
      <c r="AC54" s="13"/>
      <c r="AD54" s="13"/>
      <c r="AE54" s="13"/>
      <c r="AF54" s="13"/>
      <c r="AG54" s="13"/>
      <c r="AH54" s="13"/>
      <c r="AI54" s="13"/>
      <c r="AJ54" s="13"/>
      <c r="AK54" s="13"/>
      <c r="AL54" s="13"/>
      <c r="AM54" s="13"/>
      <c r="AN54" s="13"/>
      <c r="AO54" s="13"/>
      <c r="AP54" s="13"/>
      <c r="AQ54" s="13"/>
      <c r="AR54" s="13"/>
      <c r="AS54" s="13"/>
      <c r="AT54" s="13"/>
      <c r="AU54" s="13"/>
      <c r="AV54" s="13"/>
      <c r="AW54" s="13"/>
      <c r="AX54" s="13"/>
      <c r="AY54" s="13"/>
      <c r="AZ54" s="13"/>
      <c r="BA54" s="13"/>
      <c r="BB54" s="13"/>
      <c r="BC54" s="13"/>
      <c r="BD54" s="13"/>
      <c r="BE54" s="13"/>
      <c r="BF54" s="13"/>
      <c r="BG54" s="13"/>
      <c r="BH54" s="13"/>
    </row>
    <row r="55" spans="1:60" x14ac:dyDescent="0.3">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c r="AA55" s="13"/>
      <c r="AB55" s="13"/>
      <c r="AC55" s="13"/>
      <c r="AD55" s="13"/>
      <c r="AE55" s="13"/>
      <c r="AF55" s="13"/>
      <c r="AG55" s="13"/>
      <c r="AH55" s="13"/>
      <c r="AI55" s="13"/>
      <c r="AJ55" s="13"/>
      <c r="AK55" s="13"/>
      <c r="AL55" s="13"/>
      <c r="AM55" s="13"/>
      <c r="AN55" s="13"/>
      <c r="AO55" s="13"/>
      <c r="AP55" s="13"/>
      <c r="AQ55" s="13"/>
      <c r="AR55" s="13"/>
      <c r="AS55" s="13"/>
      <c r="AT55" s="13"/>
      <c r="AU55" s="13"/>
      <c r="AV55" s="13"/>
      <c r="AW55" s="13"/>
      <c r="AX55" s="13"/>
      <c r="AY55" s="13"/>
      <c r="AZ55" s="13"/>
      <c r="BA55" s="13"/>
      <c r="BB55" s="13"/>
      <c r="BC55" s="13"/>
      <c r="BD55" s="13"/>
      <c r="BE55" s="13"/>
      <c r="BF55" s="13"/>
      <c r="BG55" s="13"/>
      <c r="BH55" s="13"/>
    </row>
    <row r="56" spans="1:60" x14ac:dyDescent="0.3">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c r="AA56" s="13"/>
      <c r="AB56" s="13"/>
      <c r="AC56" s="13"/>
      <c r="AD56" s="13"/>
      <c r="AE56" s="13"/>
      <c r="AF56" s="13"/>
      <c r="AG56" s="13"/>
      <c r="AH56" s="13"/>
      <c r="AI56" s="13"/>
      <c r="AJ56" s="13"/>
      <c r="AK56" s="13"/>
      <c r="AL56" s="13"/>
      <c r="AM56" s="13"/>
      <c r="AN56" s="13"/>
      <c r="AO56" s="13"/>
      <c r="AP56" s="13"/>
      <c r="AQ56" s="13"/>
      <c r="AR56" s="13"/>
      <c r="AS56" s="13"/>
      <c r="AT56" s="13"/>
      <c r="AU56" s="13"/>
      <c r="AV56" s="13"/>
      <c r="AW56" s="13"/>
      <c r="AX56" s="13"/>
      <c r="AY56" s="13"/>
      <c r="AZ56" s="13"/>
      <c r="BA56" s="13"/>
      <c r="BB56" s="13"/>
      <c r="BC56" s="13"/>
      <c r="BD56" s="13"/>
      <c r="BE56" s="13"/>
      <c r="BF56" s="13"/>
      <c r="BG56" s="13"/>
      <c r="BH56" s="13"/>
    </row>
    <row r="57" spans="1:60" x14ac:dyDescent="0.3">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c r="AA57" s="13"/>
      <c r="AB57" s="13"/>
      <c r="AC57" s="13"/>
      <c r="AD57" s="13"/>
      <c r="AE57" s="13"/>
      <c r="AF57" s="13"/>
      <c r="AG57" s="13"/>
      <c r="AH57" s="13"/>
      <c r="AI57" s="13"/>
      <c r="AJ57" s="13"/>
      <c r="AK57" s="13"/>
      <c r="AL57" s="13"/>
      <c r="AM57" s="13"/>
      <c r="AN57" s="13"/>
      <c r="AO57" s="13"/>
      <c r="AP57" s="13"/>
      <c r="AQ57" s="13"/>
      <c r="AR57" s="13"/>
      <c r="AS57" s="13"/>
      <c r="AT57" s="13"/>
      <c r="AU57" s="13"/>
      <c r="AV57" s="13"/>
      <c r="AW57" s="13"/>
      <c r="AX57" s="13"/>
      <c r="AY57" s="13"/>
      <c r="AZ57" s="13"/>
      <c r="BA57" s="13"/>
      <c r="BB57" s="13"/>
      <c r="BC57" s="13"/>
      <c r="BD57" s="13"/>
      <c r="BE57" s="13"/>
      <c r="BF57" s="13"/>
      <c r="BG57" s="13"/>
      <c r="BH57" s="13"/>
    </row>
    <row r="58" spans="1:60" x14ac:dyDescent="0.3">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c r="AA58" s="13"/>
      <c r="AB58" s="13"/>
      <c r="AC58" s="13"/>
      <c r="AD58" s="13"/>
      <c r="AE58" s="13"/>
      <c r="AF58" s="13"/>
      <c r="AG58" s="13"/>
      <c r="AH58" s="13"/>
      <c r="AI58" s="13"/>
      <c r="AJ58" s="13"/>
      <c r="AK58" s="13"/>
      <c r="AL58" s="13"/>
      <c r="AM58" s="13"/>
      <c r="AN58" s="13"/>
      <c r="AO58" s="13"/>
      <c r="AP58" s="13"/>
      <c r="AQ58" s="13"/>
      <c r="AR58" s="13"/>
      <c r="AS58" s="13"/>
      <c r="AT58" s="13"/>
      <c r="AU58" s="13"/>
      <c r="AV58" s="13"/>
      <c r="AW58" s="13"/>
      <c r="AX58" s="13"/>
      <c r="AY58" s="13"/>
      <c r="AZ58" s="13"/>
      <c r="BA58" s="13"/>
      <c r="BB58" s="13"/>
      <c r="BC58" s="13"/>
      <c r="BD58" s="13"/>
      <c r="BE58" s="13"/>
      <c r="BF58" s="13"/>
      <c r="BG58" s="13"/>
      <c r="BH58" s="13"/>
    </row>
    <row r="59" spans="1:60" x14ac:dyDescent="0.3">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c r="AA59" s="13"/>
      <c r="AB59" s="13"/>
      <c r="AC59" s="13"/>
      <c r="AD59" s="13"/>
      <c r="AE59" s="13"/>
      <c r="AF59" s="13"/>
      <c r="AG59" s="13"/>
      <c r="AH59" s="13"/>
      <c r="AI59" s="13"/>
      <c r="AJ59" s="13"/>
      <c r="AK59" s="13"/>
      <c r="AL59" s="13"/>
      <c r="AM59" s="13"/>
      <c r="AN59" s="13"/>
      <c r="AO59" s="13"/>
      <c r="AP59" s="13"/>
      <c r="AQ59" s="13"/>
      <c r="AR59" s="13"/>
      <c r="AS59" s="13"/>
      <c r="AT59" s="13"/>
      <c r="AU59" s="13"/>
      <c r="AV59" s="13"/>
      <c r="AW59" s="13"/>
      <c r="AX59" s="13"/>
      <c r="AY59" s="13"/>
      <c r="AZ59" s="13"/>
      <c r="BA59" s="13"/>
      <c r="BB59" s="13"/>
      <c r="BC59" s="13"/>
      <c r="BD59" s="13"/>
      <c r="BE59" s="13"/>
      <c r="BF59" s="13"/>
      <c r="BG59" s="13"/>
      <c r="BH59" s="13"/>
    </row>
    <row r="60" spans="1:60" x14ac:dyDescent="0.3">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c r="AA60" s="13"/>
      <c r="AB60" s="13"/>
      <c r="AC60" s="13"/>
      <c r="AD60" s="13"/>
      <c r="AE60" s="13"/>
      <c r="AF60" s="13"/>
      <c r="AG60" s="13"/>
      <c r="AH60" s="13"/>
      <c r="AI60" s="13"/>
      <c r="AJ60" s="13"/>
      <c r="AK60" s="13"/>
      <c r="AL60" s="13"/>
      <c r="AM60" s="13"/>
      <c r="AN60" s="13"/>
      <c r="AO60" s="13"/>
      <c r="AP60" s="13"/>
      <c r="AQ60" s="13"/>
      <c r="AR60" s="13"/>
      <c r="AS60" s="13"/>
      <c r="AT60" s="13"/>
      <c r="AU60" s="13"/>
      <c r="AV60" s="13"/>
      <c r="AW60" s="13"/>
      <c r="AX60" s="13"/>
      <c r="AY60" s="13"/>
      <c r="AZ60" s="13"/>
      <c r="BA60" s="13"/>
      <c r="BB60" s="13"/>
      <c r="BC60" s="13"/>
      <c r="BD60" s="13"/>
      <c r="BE60" s="13"/>
      <c r="BF60" s="13"/>
      <c r="BG60" s="13"/>
      <c r="BH60" s="13"/>
    </row>
    <row r="61" spans="1:60" x14ac:dyDescent="0.3">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c r="AA61" s="13"/>
      <c r="AB61" s="13"/>
      <c r="AC61" s="13"/>
      <c r="AD61" s="13"/>
      <c r="AE61" s="13"/>
      <c r="AF61" s="13"/>
      <c r="AG61" s="13"/>
      <c r="AH61" s="13"/>
      <c r="AI61" s="13"/>
      <c r="AJ61" s="13"/>
      <c r="AK61" s="13"/>
      <c r="AL61" s="13"/>
      <c r="AM61" s="13"/>
      <c r="AN61" s="13"/>
      <c r="AO61" s="13"/>
      <c r="AP61" s="13"/>
      <c r="AQ61" s="13"/>
      <c r="AR61" s="13"/>
      <c r="AS61" s="13"/>
      <c r="AT61" s="13"/>
      <c r="AU61" s="13"/>
      <c r="AV61" s="13"/>
      <c r="AW61" s="13"/>
      <c r="AX61" s="13"/>
      <c r="AY61" s="13"/>
      <c r="AZ61" s="13"/>
      <c r="BA61" s="13"/>
      <c r="BB61" s="13"/>
      <c r="BC61" s="13"/>
      <c r="BD61" s="13"/>
      <c r="BE61" s="13"/>
      <c r="BF61" s="13"/>
      <c r="BG61" s="13"/>
      <c r="BH61" s="13"/>
    </row>
    <row r="62" spans="1:60" x14ac:dyDescent="0.3">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c r="AO62" s="13"/>
      <c r="AP62" s="13"/>
      <c r="AQ62" s="13"/>
      <c r="AR62" s="13"/>
      <c r="AS62" s="13"/>
      <c r="AT62" s="13"/>
      <c r="AU62" s="13"/>
      <c r="AV62" s="13"/>
      <c r="AW62" s="13"/>
      <c r="AX62" s="13"/>
      <c r="AY62" s="13"/>
      <c r="AZ62" s="13"/>
      <c r="BA62" s="13"/>
      <c r="BB62" s="13"/>
      <c r="BC62" s="13"/>
      <c r="BD62" s="13"/>
      <c r="BE62" s="13"/>
      <c r="BF62" s="13"/>
      <c r="BG62" s="13"/>
      <c r="BH62" s="13"/>
    </row>
    <row r="63" spans="1:60" x14ac:dyDescent="0.3">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c r="AA63" s="13"/>
      <c r="AB63" s="13"/>
      <c r="AC63" s="13"/>
      <c r="AD63" s="13"/>
      <c r="AE63" s="13"/>
      <c r="AF63" s="13"/>
      <c r="AG63" s="13"/>
      <c r="AH63" s="13"/>
      <c r="AI63" s="13"/>
      <c r="AJ63" s="13"/>
      <c r="AK63" s="13"/>
      <c r="AL63" s="13"/>
      <c r="AM63" s="13"/>
      <c r="AN63" s="13"/>
      <c r="AO63" s="13"/>
      <c r="AP63" s="13"/>
      <c r="AQ63" s="13"/>
      <c r="AR63" s="13"/>
      <c r="AS63" s="13"/>
      <c r="AT63" s="13"/>
      <c r="AU63" s="13"/>
      <c r="AV63" s="13"/>
      <c r="AW63" s="13"/>
      <c r="AX63" s="13"/>
      <c r="AY63" s="13"/>
      <c r="AZ63" s="13"/>
      <c r="BA63" s="13"/>
      <c r="BB63" s="13"/>
      <c r="BC63" s="13"/>
      <c r="BD63" s="13"/>
      <c r="BE63" s="13"/>
      <c r="BF63" s="13"/>
      <c r="BG63" s="13"/>
      <c r="BH63" s="13"/>
    </row>
    <row r="64" spans="1:60" x14ac:dyDescent="0.3">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c r="AO64" s="13"/>
      <c r="AP64" s="13"/>
      <c r="AQ64" s="13"/>
      <c r="AR64" s="13"/>
      <c r="AS64" s="13"/>
      <c r="AT64" s="13"/>
      <c r="AU64" s="13"/>
      <c r="AV64" s="13"/>
      <c r="AW64" s="13"/>
      <c r="AX64" s="13"/>
      <c r="AY64" s="13"/>
      <c r="AZ64" s="13"/>
      <c r="BA64" s="13"/>
      <c r="BB64" s="13"/>
      <c r="BC64" s="13"/>
      <c r="BD64" s="13"/>
      <c r="BE64" s="13"/>
      <c r="BF64" s="13"/>
      <c r="BG64" s="13"/>
      <c r="BH64" s="13"/>
    </row>
    <row r="65" spans="1:60" x14ac:dyDescent="0.3">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c r="AO65" s="13"/>
      <c r="AP65" s="13"/>
      <c r="AQ65" s="13"/>
      <c r="AR65" s="13"/>
      <c r="AS65" s="13"/>
      <c r="AT65" s="13"/>
      <c r="AU65" s="13"/>
      <c r="AV65" s="13"/>
      <c r="AW65" s="13"/>
      <c r="AX65" s="13"/>
      <c r="AY65" s="13"/>
      <c r="AZ65" s="13"/>
      <c r="BA65" s="13"/>
      <c r="BB65" s="13"/>
      <c r="BC65" s="13"/>
      <c r="BD65" s="13"/>
      <c r="BE65" s="13"/>
      <c r="BF65" s="13"/>
      <c r="BG65" s="13"/>
      <c r="BH65" s="13"/>
    </row>
    <row r="66" spans="1:60" x14ac:dyDescent="0.3">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c r="AO66" s="13"/>
      <c r="AP66" s="13"/>
      <c r="AQ66" s="13"/>
      <c r="AR66" s="13"/>
      <c r="AS66" s="13"/>
      <c r="AT66" s="13"/>
      <c r="AU66" s="13"/>
      <c r="AV66" s="13"/>
      <c r="AW66" s="13"/>
      <c r="AX66" s="13"/>
      <c r="AY66" s="13"/>
      <c r="AZ66" s="13"/>
      <c r="BA66" s="13"/>
      <c r="BB66" s="13"/>
      <c r="BC66" s="13"/>
      <c r="BD66" s="13"/>
      <c r="BE66" s="13"/>
      <c r="BF66" s="13"/>
      <c r="BG66" s="13"/>
      <c r="BH66" s="13"/>
    </row>
    <row r="67" spans="1:60" x14ac:dyDescent="0.3">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c r="AO67" s="13"/>
      <c r="AP67" s="13"/>
      <c r="AQ67" s="13"/>
      <c r="AR67" s="13"/>
      <c r="AS67" s="13"/>
      <c r="AT67" s="13"/>
      <c r="AU67" s="13"/>
      <c r="AV67" s="13"/>
      <c r="AW67" s="13"/>
      <c r="AX67" s="13"/>
      <c r="AY67" s="13"/>
      <c r="AZ67" s="13"/>
      <c r="BA67" s="13"/>
      <c r="BB67" s="13"/>
      <c r="BC67" s="13"/>
      <c r="BD67" s="13"/>
      <c r="BE67" s="13"/>
      <c r="BF67" s="13"/>
      <c r="BG67" s="13"/>
      <c r="BH67" s="13"/>
    </row>
    <row r="68" spans="1:60" x14ac:dyDescent="0.3">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c r="AA68" s="13"/>
      <c r="AB68" s="13"/>
      <c r="AC68" s="13"/>
      <c r="AD68" s="13"/>
      <c r="AE68" s="13"/>
      <c r="AF68" s="13"/>
      <c r="AG68" s="13"/>
      <c r="AH68" s="13"/>
      <c r="AI68" s="13"/>
      <c r="AJ68" s="13"/>
      <c r="AK68" s="13"/>
      <c r="AL68" s="13"/>
      <c r="AM68" s="13"/>
      <c r="AN68" s="13"/>
      <c r="AO68" s="13"/>
      <c r="AP68" s="13"/>
      <c r="AQ68" s="13"/>
      <c r="AR68" s="13"/>
      <c r="AS68" s="13"/>
      <c r="AT68" s="13"/>
      <c r="AU68" s="13"/>
      <c r="AV68" s="13"/>
      <c r="AW68" s="13"/>
      <c r="AX68" s="13"/>
      <c r="AY68" s="13"/>
      <c r="AZ68" s="13"/>
      <c r="BA68" s="13"/>
      <c r="BB68" s="13"/>
      <c r="BC68" s="13"/>
      <c r="BD68" s="13"/>
      <c r="BE68" s="13"/>
      <c r="BF68" s="13"/>
      <c r="BG68" s="13"/>
      <c r="BH68" s="13"/>
    </row>
    <row r="69" spans="1:60" x14ac:dyDescent="0.3">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c r="AA69" s="13"/>
      <c r="AB69" s="13"/>
      <c r="AC69" s="13"/>
      <c r="AD69" s="13"/>
      <c r="AE69" s="13"/>
      <c r="AF69" s="13"/>
      <c r="AG69" s="13"/>
      <c r="AH69" s="13"/>
      <c r="AI69" s="13"/>
      <c r="AJ69" s="13"/>
      <c r="AK69" s="13"/>
      <c r="AL69" s="13"/>
      <c r="AM69" s="13"/>
      <c r="AN69" s="13"/>
      <c r="AO69" s="13"/>
      <c r="AP69" s="13"/>
      <c r="AQ69" s="13"/>
      <c r="AR69" s="13"/>
      <c r="AS69" s="13"/>
      <c r="AT69" s="13"/>
      <c r="AU69" s="13"/>
      <c r="AV69" s="13"/>
      <c r="AW69" s="13"/>
      <c r="AX69" s="13"/>
      <c r="AY69" s="13"/>
      <c r="AZ69" s="13"/>
      <c r="BA69" s="13"/>
      <c r="BB69" s="13"/>
      <c r="BC69" s="13"/>
      <c r="BD69" s="13"/>
      <c r="BE69" s="13"/>
      <c r="BF69" s="13"/>
      <c r="BG69" s="13"/>
      <c r="BH69" s="13"/>
    </row>
    <row r="70" spans="1:60" x14ac:dyDescent="0.3">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c r="AA70" s="13"/>
      <c r="AB70" s="13"/>
      <c r="AC70" s="13"/>
      <c r="AD70" s="13"/>
      <c r="AE70" s="13"/>
      <c r="AF70" s="13"/>
      <c r="AG70" s="13"/>
      <c r="AH70" s="13"/>
      <c r="AI70" s="13"/>
      <c r="AJ70" s="13"/>
      <c r="AK70" s="13"/>
      <c r="AL70" s="13"/>
      <c r="AM70" s="13"/>
      <c r="AN70" s="13"/>
      <c r="AO70" s="13"/>
      <c r="AP70" s="13"/>
      <c r="AQ70" s="13"/>
      <c r="AR70" s="13"/>
      <c r="AS70" s="13"/>
      <c r="AT70" s="13"/>
      <c r="AU70" s="13"/>
      <c r="AV70" s="13"/>
      <c r="AW70" s="13"/>
      <c r="AX70" s="13"/>
      <c r="AY70" s="13"/>
      <c r="AZ70" s="13"/>
      <c r="BA70" s="13"/>
      <c r="BB70" s="13"/>
      <c r="BC70" s="13"/>
      <c r="BD70" s="13"/>
      <c r="BE70" s="13"/>
      <c r="BF70" s="13"/>
      <c r="BG70" s="13"/>
      <c r="BH70" s="13"/>
    </row>
    <row r="71" spans="1:60" x14ac:dyDescent="0.3">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c r="AA71" s="13"/>
      <c r="AB71" s="13"/>
      <c r="AC71" s="13"/>
      <c r="AD71" s="13"/>
      <c r="AE71" s="13"/>
      <c r="AF71" s="13"/>
      <c r="AG71" s="13"/>
      <c r="AH71" s="13"/>
      <c r="AI71" s="13"/>
      <c r="AJ71" s="13"/>
      <c r="AK71" s="13"/>
      <c r="AL71" s="13"/>
      <c r="AM71" s="13"/>
      <c r="AN71" s="13"/>
      <c r="AO71" s="13"/>
      <c r="AP71" s="13"/>
      <c r="AQ71" s="13"/>
      <c r="AR71" s="13"/>
      <c r="AS71" s="13"/>
      <c r="AT71" s="13"/>
      <c r="AU71" s="13"/>
      <c r="AV71" s="13"/>
      <c r="AW71" s="13"/>
      <c r="AX71" s="13"/>
      <c r="AY71" s="13"/>
      <c r="AZ71" s="13"/>
      <c r="BA71" s="13"/>
      <c r="BB71" s="13"/>
      <c r="BC71" s="13"/>
      <c r="BD71" s="13"/>
      <c r="BE71" s="13"/>
      <c r="BF71" s="13"/>
      <c r="BG71" s="13"/>
      <c r="BH71" s="13"/>
    </row>
    <row r="72" spans="1:60" x14ac:dyDescent="0.3">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c r="AA72" s="13"/>
      <c r="AB72" s="13"/>
      <c r="AC72" s="13"/>
      <c r="AD72" s="13"/>
      <c r="AE72" s="13"/>
      <c r="AF72" s="13"/>
      <c r="AG72" s="13"/>
      <c r="AH72" s="13"/>
      <c r="AI72" s="13"/>
      <c r="AJ72" s="13"/>
      <c r="AK72" s="13"/>
      <c r="AL72" s="13"/>
      <c r="AM72" s="13"/>
      <c r="AN72" s="13"/>
      <c r="AO72" s="13"/>
      <c r="AP72" s="13"/>
      <c r="AQ72" s="13"/>
      <c r="AR72" s="13"/>
      <c r="AS72" s="13"/>
      <c r="AT72" s="13"/>
      <c r="AU72" s="13"/>
      <c r="AV72" s="13"/>
      <c r="AW72" s="13"/>
      <c r="AX72" s="13"/>
      <c r="AY72" s="13"/>
      <c r="AZ72" s="13"/>
      <c r="BA72" s="13"/>
      <c r="BB72" s="13"/>
      <c r="BC72" s="13"/>
      <c r="BD72" s="13"/>
      <c r="BE72" s="13"/>
      <c r="BF72" s="13"/>
      <c r="BG72" s="13"/>
      <c r="BH72" s="13"/>
    </row>
    <row r="73" spans="1:60" x14ac:dyDescent="0.3">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c r="AA73" s="13"/>
      <c r="AB73" s="13"/>
      <c r="AC73" s="13"/>
      <c r="AD73" s="13"/>
      <c r="AE73" s="13"/>
      <c r="AF73" s="13"/>
      <c r="AG73" s="13"/>
      <c r="AH73" s="13"/>
      <c r="AI73" s="13"/>
      <c r="AJ73" s="13"/>
      <c r="AK73" s="13"/>
      <c r="AL73" s="13"/>
      <c r="AM73" s="13"/>
      <c r="AN73" s="13"/>
      <c r="AO73" s="13"/>
      <c r="AP73" s="13"/>
      <c r="AQ73" s="13"/>
      <c r="AR73" s="13"/>
      <c r="AS73" s="13"/>
      <c r="AT73" s="13"/>
      <c r="AU73" s="13"/>
      <c r="AV73" s="13"/>
      <c r="AW73" s="13"/>
      <c r="AX73" s="13"/>
      <c r="AY73" s="13"/>
      <c r="AZ73" s="13"/>
      <c r="BA73" s="13"/>
      <c r="BB73" s="13"/>
      <c r="BC73" s="13"/>
      <c r="BD73" s="13"/>
      <c r="BE73" s="13"/>
      <c r="BF73" s="13"/>
      <c r="BG73" s="13"/>
      <c r="BH73" s="13"/>
    </row>
    <row r="74" spans="1:60" x14ac:dyDescent="0.3">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c r="AA74" s="13"/>
      <c r="AB74" s="13"/>
      <c r="AC74" s="13"/>
      <c r="AD74" s="13"/>
      <c r="AE74" s="13"/>
      <c r="AF74" s="13"/>
      <c r="AG74" s="13"/>
      <c r="AH74" s="13"/>
      <c r="AI74" s="13"/>
      <c r="AJ74" s="13"/>
      <c r="AK74" s="13"/>
      <c r="AL74" s="13"/>
      <c r="AM74" s="13"/>
      <c r="AN74" s="13"/>
      <c r="AO74" s="13"/>
      <c r="AP74" s="13"/>
      <c r="AQ74" s="13"/>
      <c r="AR74" s="13"/>
      <c r="AS74" s="13"/>
      <c r="AT74" s="13"/>
      <c r="AU74" s="13"/>
      <c r="AV74" s="13"/>
      <c r="AW74" s="13"/>
      <c r="AX74" s="13"/>
      <c r="AY74" s="13"/>
      <c r="AZ74" s="13"/>
      <c r="BA74" s="13"/>
      <c r="BB74" s="13"/>
      <c r="BC74" s="13"/>
      <c r="BD74" s="13"/>
      <c r="BE74" s="13"/>
      <c r="BF74" s="13"/>
      <c r="BG74" s="13"/>
      <c r="BH74" s="13"/>
    </row>
    <row r="75" spans="1:60" x14ac:dyDescent="0.3">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c r="AA75" s="13"/>
      <c r="AB75" s="13"/>
      <c r="AC75" s="13"/>
      <c r="AD75" s="13"/>
      <c r="AE75" s="13"/>
      <c r="AF75" s="13"/>
      <c r="AG75" s="13"/>
      <c r="AH75" s="13"/>
      <c r="AI75" s="13"/>
      <c r="AJ75" s="13"/>
      <c r="AK75" s="13"/>
      <c r="AL75" s="13"/>
      <c r="AM75" s="13"/>
      <c r="AN75" s="13"/>
      <c r="AO75" s="13"/>
      <c r="AP75" s="13"/>
      <c r="AQ75" s="13"/>
      <c r="AR75" s="13"/>
      <c r="AS75" s="13"/>
      <c r="AT75" s="13"/>
      <c r="AU75" s="13"/>
      <c r="AV75" s="13"/>
      <c r="AW75" s="13"/>
      <c r="AX75" s="13"/>
      <c r="AY75" s="13"/>
      <c r="AZ75" s="13"/>
      <c r="BA75" s="13"/>
      <c r="BB75" s="13"/>
      <c r="BC75" s="13"/>
      <c r="BD75" s="13"/>
      <c r="BE75" s="13"/>
      <c r="BF75" s="13"/>
      <c r="BG75" s="13"/>
      <c r="BH75" s="13"/>
    </row>
    <row r="76" spans="1:60" x14ac:dyDescent="0.3">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c r="AA76" s="13"/>
      <c r="AB76" s="13"/>
      <c r="AC76" s="13"/>
      <c r="AD76" s="13"/>
      <c r="AE76" s="13"/>
      <c r="AF76" s="13"/>
      <c r="AG76" s="13"/>
      <c r="AH76" s="13"/>
      <c r="AI76" s="13"/>
      <c r="AJ76" s="13"/>
      <c r="AK76" s="13"/>
      <c r="AL76" s="13"/>
      <c r="AM76" s="13"/>
      <c r="AN76" s="13"/>
      <c r="AO76" s="13"/>
      <c r="AP76" s="13"/>
      <c r="AQ76" s="13"/>
      <c r="AR76" s="13"/>
      <c r="AS76" s="13"/>
      <c r="AT76" s="13"/>
      <c r="AU76" s="13"/>
      <c r="AV76" s="13"/>
      <c r="AW76" s="13"/>
      <c r="AX76" s="13"/>
      <c r="AY76" s="13"/>
      <c r="AZ76" s="13"/>
      <c r="BA76" s="13"/>
      <c r="BB76" s="13"/>
      <c r="BC76" s="13"/>
      <c r="BD76" s="13"/>
      <c r="BE76" s="13"/>
      <c r="BF76" s="13"/>
      <c r="BG76" s="13"/>
      <c r="BH76" s="13"/>
    </row>
    <row r="77" spans="1:60" x14ac:dyDescent="0.3">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c r="AA77" s="13"/>
      <c r="AB77" s="13"/>
      <c r="AC77" s="13"/>
      <c r="AD77" s="13"/>
      <c r="AE77" s="13"/>
      <c r="AF77" s="13"/>
      <c r="AG77" s="13"/>
      <c r="AH77" s="13"/>
      <c r="AI77" s="13"/>
      <c r="AJ77" s="13"/>
      <c r="AK77" s="13"/>
      <c r="AL77" s="13"/>
      <c r="AM77" s="13"/>
      <c r="AN77" s="13"/>
      <c r="AO77" s="13"/>
      <c r="AP77" s="13"/>
      <c r="AQ77" s="13"/>
      <c r="AR77" s="13"/>
      <c r="AS77" s="13"/>
      <c r="AT77" s="13"/>
      <c r="AU77" s="13"/>
      <c r="AV77" s="13"/>
      <c r="AW77" s="13"/>
      <c r="AX77" s="13"/>
      <c r="AY77" s="13"/>
      <c r="AZ77" s="13"/>
      <c r="BA77" s="13"/>
      <c r="BB77" s="13"/>
      <c r="BC77" s="13"/>
      <c r="BD77" s="13"/>
      <c r="BE77" s="13"/>
      <c r="BF77" s="13"/>
      <c r="BG77" s="13"/>
      <c r="BH77" s="13"/>
    </row>
    <row r="78" spans="1:60" x14ac:dyDescent="0.3">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c r="AA78" s="13"/>
      <c r="AB78" s="13"/>
      <c r="AC78" s="13"/>
      <c r="AD78" s="13"/>
      <c r="AE78" s="13"/>
      <c r="AF78" s="13"/>
      <c r="AG78" s="13"/>
      <c r="AH78" s="13"/>
      <c r="AI78" s="13"/>
      <c r="AJ78" s="13"/>
      <c r="AK78" s="13"/>
      <c r="AL78" s="13"/>
      <c r="AM78" s="13"/>
      <c r="AN78" s="13"/>
      <c r="AO78" s="13"/>
      <c r="AP78" s="13"/>
      <c r="AQ78" s="13"/>
      <c r="AR78" s="13"/>
      <c r="AS78" s="13"/>
      <c r="AT78" s="13"/>
      <c r="AU78" s="13"/>
      <c r="AV78" s="13"/>
      <c r="AW78" s="13"/>
      <c r="AX78" s="13"/>
      <c r="AY78" s="13"/>
      <c r="AZ78" s="13"/>
      <c r="BA78" s="13"/>
      <c r="BB78" s="13"/>
      <c r="BC78" s="13"/>
      <c r="BD78" s="13"/>
      <c r="BE78" s="13"/>
      <c r="BF78" s="13"/>
      <c r="BG78" s="13"/>
      <c r="BH78" s="13"/>
    </row>
    <row r="79" spans="1:60" x14ac:dyDescent="0.3">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c r="AA79" s="13"/>
      <c r="AB79" s="13"/>
      <c r="AC79" s="13"/>
      <c r="AD79" s="13"/>
      <c r="AE79" s="13"/>
      <c r="AF79" s="13"/>
      <c r="AG79" s="13"/>
      <c r="AH79" s="13"/>
      <c r="AI79" s="13"/>
      <c r="AJ79" s="13"/>
      <c r="AK79" s="13"/>
      <c r="AL79" s="13"/>
      <c r="AM79" s="13"/>
      <c r="AN79" s="13"/>
      <c r="AO79" s="13"/>
      <c r="AP79" s="13"/>
      <c r="AQ79" s="13"/>
      <c r="AR79" s="13"/>
      <c r="AS79" s="13"/>
      <c r="AT79" s="13"/>
      <c r="AU79" s="13"/>
      <c r="AV79" s="13"/>
      <c r="AW79" s="13"/>
      <c r="AX79" s="13"/>
      <c r="AY79" s="13"/>
      <c r="AZ79" s="13"/>
      <c r="BA79" s="13"/>
      <c r="BB79" s="13"/>
      <c r="BC79" s="13"/>
      <c r="BD79" s="13"/>
      <c r="BE79" s="13"/>
      <c r="BF79" s="13"/>
      <c r="BG79" s="13"/>
      <c r="BH79" s="13"/>
    </row>
    <row r="80" spans="1:60" x14ac:dyDescent="0.3">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c r="AA80" s="13"/>
      <c r="AB80" s="13"/>
      <c r="AC80" s="13"/>
      <c r="AD80" s="13"/>
      <c r="AE80" s="13"/>
      <c r="AF80" s="13"/>
      <c r="AG80" s="13"/>
      <c r="AH80" s="13"/>
      <c r="AI80" s="13"/>
      <c r="AJ80" s="13"/>
      <c r="AK80" s="13"/>
      <c r="AL80" s="13"/>
      <c r="AM80" s="13"/>
      <c r="AN80" s="13"/>
      <c r="AO80" s="13"/>
      <c r="AP80" s="13"/>
      <c r="AQ80" s="13"/>
      <c r="AR80" s="13"/>
      <c r="AS80" s="13"/>
      <c r="AT80" s="13"/>
      <c r="AU80" s="13"/>
      <c r="AV80" s="13"/>
      <c r="AW80" s="13"/>
      <c r="AX80" s="13"/>
      <c r="AY80" s="13"/>
      <c r="AZ80" s="13"/>
      <c r="BA80" s="13"/>
      <c r="BB80" s="13"/>
      <c r="BC80" s="13"/>
      <c r="BD80" s="13"/>
      <c r="BE80" s="13"/>
      <c r="BF80" s="13"/>
      <c r="BG80" s="13"/>
      <c r="BH80" s="13"/>
    </row>
    <row r="81" spans="1:60" x14ac:dyDescent="0.3">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c r="AA81" s="13"/>
      <c r="AB81" s="13"/>
      <c r="AC81" s="13"/>
      <c r="AD81" s="13"/>
      <c r="AE81" s="13"/>
      <c r="AF81" s="13"/>
      <c r="AG81" s="13"/>
      <c r="AH81" s="13"/>
      <c r="AI81" s="13"/>
      <c r="AJ81" s="13"/>
      <c r="AK81" s="13"/>
      <c r="AL81" s="13"/>
      <c r="AM81" s="13"/>
      <c r="AN81" s="13"/>
      <c r="AO81" s="13"/>
      <c r="AP81" s="13"/>
      <c r="AQ81" s="13"/>
      <c r="AR81" s="13"/>
      <c r="AS81" s="13"/>
      <c r="AT81" s="13"/>
      <c r="AU81" s="13"/>
      <c r="AV81" s="13"/>
      <c r="AW81" s="13"/>
      <c r="AX81" s="13"/>
      <c r="AY81" s="13"/>
      <c r="AZ81" s="13"/>
      <c r="BA81" s="13"/>
      <c r="BB81" s="13"/>
      <c r="BC81" s="13"/>
      <c r="BD81" s="13"/>
      <c r="BE81" s="13"/>
      <c r="BF81" s="13"/>
      <c r="BG81" s="13"/>
      <c r="BH81" s="13"/>
    </row>
    <row r="82" spans="1:60" x14ac:dyDescent="0.3">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c r="AA82" s="13"/>
      <c r="AB82" s="13"/>
      <c r="AC82" s="13"/>
      <c r="AD82" s="13"/>
      <c r="AE82" s="13"/>
      <c r="AF82" s="13"/>
      <c r="AG82" s="13"/>
      <c r="AH82" s="13"/>
      <c r="AI82" s="13"/>
      <c r="AJ82" s="13"/>
      <c r="AK82" s="13"/>
      <c r="AL82" s="13"/>
      <c r="AM82" s="13"/>
      <c r="AN82" s="13"/>
      <c r="AO82" s="13"/>
      <c r="AP82" s="13"/>
      <c r="AQ82" s="13"/>
      <c r="AR82" s="13"/>
      <c r="AS82" s="13"/>
      <c r="AT82" s="13"/>
      <c r="AU82" s="13"/>
      <c r="AV82" s="13"/>
      <c r="AW82" s="13"/>
      <c r="AX82" s="13"/>
      <c r="AY82" s="13"/>
      <c r="AZ82" s="13"/>
      <c r="BA82" s="13"/>
      <c r="BB82" s="13"/>
      <c r="BC82" s="13"/>
      <c r="BD82" s="13"/>
      <c r="BE82" s="13"/>
      <c r="BF82" s="13"/>
      <c r="BG82" s="13"/>
      <c r="BH82" s="13"/>
    </row>
    <row r="83" spans="1:60" x14ac:dyDescent="0.3">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c r="AA83" s="13"/>
      <c r="AB83" s="13"/>
      <c r="AC83" s="13"/>
      <c r="AD83" s="13"/>
      <c r="AE83" s="13"/>
      <c r="AF83" s="13"/>
      <c r="AG83" s="13"/>
      <c r="AH83" s="13"/>
      <c r="AI83" s="13"/>
      <c r="AJ83" s="13"/>
      <c r="AK83" s="13"/>
      <c r="AL83" s="13"/>
      <c r="AM83" s="13"/>
      <c r="AN83" s="13"/>
      <c r="AO83" s="13"/>
      <c r="AP83" s="13"/>
      <c r="AQ83" s="13"/>
      <c r="AR83" s="13"/>
      <c r="AS83" s="13"/>
      <c r="AT83" s="13"/>
      <c r="AU83" s="13"/>
      <c r="AV83" s="13"/>
      <c r="AW83" s="13"/>
      <c r="AX83" s="13"/>
      <c r="AY83" s="13"/>
      <c r="AZ83" s="13"/>
      <c r="BA83" s="13"/>
      <c r="BB83" s="13"/>
      <c r="BC83" s="13"/>
      <c r="BD83" s="13"/>
      <c r="BE83" s="13"/>
      <c r="BF83" s="13"/>
      <c r="BG83" s="13"/>
      <c r="BH83" s="13"/>
    </row>
    <row r="84" spans="1:60" x14ac:dyDescent="0.3">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c r="AA84" s="13"/>
      <c r="AB84" s="13"/>
      <c r="AC84" s="13"/>
      <c r="AD84" s="13"/>
      <c r="AE84" s="13"/>
      <c r="AF84" s="13"/>
      <c r="AG84" s="13"/>
      <c r="AH84" s="13"/>
      <c r="AI84" s="13"/>
      <c r="AJ84" s="13"/>
      <c r="AK84" s="13"/>
      <c r="AL84" s="13"/>
      <c r="AM84" s="13"/>
      <c r="AN84" s="13"/>
      <c r="AO84" s="13"/>
      <c r="AP84" s="13"/>
      <c r="AQ84" s="13"/>
      <c r="AR84" s="13"/>
      <c r="AS84" s="13"/>
      <c r="AT84" s="13"/>
      <c r="AU84" s="13"/>
      <c r="AV84" s="13"/>
      <c r="AW84" s="13"/>
      <c r="AX84" s="13"/>
      <c r="AY84" s="13"/>
      <c r="AZ84" s="13"/>
      <c r="BA84" s="13"/>
      <c r="BB84" s="13"/>
      <c r="BC84" s="13"/>
      <c r="BD84" s="13"/>
      <c r="BE84" s="13"/>
      <c r="BF84" s="13"/>
      <c r="BG84" s="13"/>
      <c r="BH84" s="13"/>
    </row>
    <row r="85" spans="1:60" x14ac:dyDescent="0.3">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c r="AA85" s="13"/>
      <c r="AB85" s="13"/>
      <c r="AC85" s="13"/>
      <c r="AD85" s="13"/>
      <c r="AE85" s="13"/>
      <c r="AF85" s="13"/>
      <c r="AG85" s="13"/>
      <c r="AH85" s="13"/>
      <c r="AI85" s="13"/>
      <c r="AJ85" s="13"/>
      <c r="AK85" s="13"/>
      <c r="AL85" s="13"/>
      <c r="AM85" s="13"/>
      <c r="AN85" s="13"/>
      <c r="AO85" s="13"/>
      <c r="AP85" s="13"/>
      <c r="AQ85" s="13"/>
      <c r="AR85" s="13"/>
      <c r="AS85" s="13"/>
      <c r="AT85" s="13"/>
      <c r="AU85" s="13"/>
      <c r="AV85" s="13"/>
      <c r="AW85" s="13"/>
      <c r="AX85" s="13"/>
      <c r="AY85" s="13"/>
      <c r="AZ85" s="13"/>
      <c r="BA85" s="13"/>
      <c r="BB85" s="13"/>
      <c r="BC85" s="13"/>
      <c r="BD85" s="13"/>
      <c r="BE85" s="13"/>
      <c r="BF85" s="13"/>
      <c r="BG85" s="13"/>
      <c r="BH85" s="13"/>
    </row>
    <row r="86" spans="1:60" x14ac:dyDescent="0.3">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c r="AA86" s="13"/>
      <c r="AB86" s="13"/>
      <c r="AC86" s="13"/>
      <c r="AD86" s="13"/>
      <c r="AE86" s="13"/>
      <c r="AF86" s="13"/>
      <c r="AG86" s="13"/>
      <c r="AH86" s="13"/>
      <c r="AI86" s="13"/>
      <c r="AJ86" s="13"/>
      <c r="AK86" s="13"/>
      <c r="AL86" s="13"/>
      <c r="AM86" s="13"/>
      <c r="AN86" s="13"/>
      <c r="AO86" s="13"/>
      <c r="AP86" s="13"/>
      <c r="AQ86" s="13"/>
      <c r="AR86" s="13"/>
      <c r="AS86" s="13"/>
      <c r="AT86" s="13"/>
      <c r="AU86" s="13"/>
      <c r="AV86" s="13"/>
      <c r="AW86" s="13"/>
      <c r="AX86" s="13"/>
      <c r="AY86" s="13"/>
      <c r="AZ86" s="13"/>
      <c r="BA86" s="13"/>
      <c r="BB86" s="13"/>
      <c r="BC86" s="13"/>
      <c r="BD86" s="13"/>
      <c r="BE86" s="13"/>
      <c r="BF86" s="13"/>
      <c r="BG86" s="13"/>
      <c r="BH86" s="13"/>
    </row>
    <row r="87" spans="1:60" x14ac:dyDescent="0.3">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c r="AA87" s="13"/>
      <c r="AB87" s="13"/>
      <c r="AC87" s="13"/>
      <c r="AD87" s="13"/>
      <c r="AE87" s="13"/>
      <c r="AF87" s="13"/>
      <c r="AG87" s="13"/>
      <c r="AH87" s="13"/>
      <c r="AI87" s="13"/>
      <c r="AJ87" s="13"/>
      <c r="AK87" s="13"/>
      <c r="AL87" s="13"/>
      <c r="AM87" s="13"/>
      <c r="AN87" s="13"/>
      <c r="AO87" s="13"/>
      <c r="AP87" s="13"/>
      <c r="AQ87" s="13"/>
      <c r="AR87" s="13"/>
      <c r="AS87" s="13"/>
      <c r="AT87" s="13"/>
      <c r="AU87" s="13"/>
      <c r="AV87" s="13"/>
      <c r="AW87" s="13"/>
      <c r="AX87" s="13"/>
      <c r="AY87" s="13"/>
      <c r="AZ87" s="13"/>
      <c r="BA87" s="13"/>
      <c r="BB87" s="13"/>
      <c r="BC87" s="13"/>
      <c r="BD87" s="13"/>
      <c r="BE87" s="13"/>
      <c r="BF87" s="13"/>
      <c r="BG87" s="13"/>
      <c r="BH87" s="13"/>
    </row>
    <row r="88" spans="1:60" x14ac:dyDescent="0.3">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c r="AA88" s="13"/>
      <c r="AB88" s="13"/>
      <c r="AC88" s="13"/>
      <c r="AD88" s="13"/>
      <c r="AE88" s="13"/>
      <c r="AF88" s="13"/>
      <c r="AG88" s="13"/>
      <c r="AH88" s="13"/>
      <c r="AI88" s="13"/>
      <c r="AJ88" s="13"/>
      <c r="AK88" s="13"/>
      <c r="AL88" s="13"/>
      <c r="AM88" s="13"/>
      <c r="AN88" s="13"/>
      <c r="AO88" s="13"/>
      <c r="AP88" s="13"/>
      <c r="AQ88" s="13"/>
      <c r="AR88" s="13"/>
      <c r="AS88" s="13"/>
      <c r="AT88" s="13"/>
      <c r="AU88" s="13"/>
      <c r="AV88" s="13"/>
      <c r="AW88" s="13"/>
      <c r="AX88" s="13"/>
      <c r="AY88" s="13"/>
      <c r="AZ88" s="13"/>
      <c r="BA88" s="13"/>
      <c r="BB88" s="13"/>
      <c r="BC88" s="13"/>
      <c r="BD88" s="13"/>
      <c r="BE88" s="13"/>
      <c r="BF88" s="13"/>
      <c r="BG88" s="13"/>
      <c r="BH88" s="13"/>
    </row>
    <row r="89" spans="1:60" x14ac:dyDescent="0.3">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c r="AA89" s="13"/>
      <c r="AB89" s="13"/>
      <c r="AC89" s="13"/>
      <c r="AD89" s="13"/>
      <c r="AE89" s="13"/>
      <c r="AF89" s="13"/>
      <c r="AG89" s="13"/>
      <c r="AH89" s="13"/>
      <c r="AI89" s="13"/>
      <c r="AJ89" s="13"/>
      <c r="AK89" s="13"/>
      <c r="AL89" s="13"/>
      <c r="AM89" s="13"/>
      <c r="AN89" s="13"/>
      <c r="AO89" s="13"/>
      <c r="AP89" s="13"/>
      <c r="AQ89" s="13"/>
      <c r="AR89" s="13"/>
      <c r="AS89" s="13"/>
      <c r="AT89" s="13"/>
      <c r="AU89" s="13"/>
      <c r="AV89" s="13"/>
      <c r="AW89" s="13"/>
      <c r="AX89" s="13"/>
      <c r="AY89" s="13"/>
      <c r="AZ89" s="13"/>
      <c r="BA89" s="13"/>
      <c r="BB89" s="13"/>
      <c r="BC89" s="13"/>
      <c r="BD89" s="13"/>
      <c r="BE89" s="13"/>
      <c r="BF89" s="13"/>
      <c r="BG89" s="13"/>
      <c r="BH89" s="13"/>
    </row>
    <row r="90" spans="1:60" x14ac:dyDescent="0.3">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c r="AA90" s="13"/>
      <c r="AB90" s="13"/>
      <c r="AC90" s="13"/>
      <c r="AD90" s="13"/>
      <c r="AE90" s="13"/>
      <c r="AF90" s="13"/>
      <c r="AG90" s="13"/>
      <c r="AH90" s="13"/>
      <c r="AI90" s="13"/>
      <c r="AJ90" s="13"/>
      <c r="AK90" s="13"/>
      <c r="AL90" s="13"/>
      <c r="AM90" s="13"/>
      <c r="AN90" s="13"/>
      <c r="AO90" s="13"/>
      <c r="AP90" s="13"/>
      <c r="AQ90" s="13"/>
      <c r="AR90" s="13"/>
      <c r="AS90" s="13"/>
      <c r="AT90" s="13"/>
      <c r="AU90" s="13"/>
      <c r="AV90" s="13"/>
      <c r="AW90" s="13"/>
      <c r="AX90" s="13"/>
      <c r="AY90" s="13"/>
      <c r="AZ90" s="13"/>
      <c r="BA90" s="13"/>
      <c r="BB90" s="13"/>
      <c r="BC90" s="13"/>
      <c r="BD90" s="13"/>
      <c r="BE90" s="13"/>
      <c r="BF90" s="13"/>
      <c r="BG90" s="13"/>
      <c r="BH90" s="13"/>
    </row>
    <row r="91" spans="1:60" x14ac:dyDescent="0.3">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c r="AA91" s="13"/>
      <c r="AB91" s="13"/>
      <c r="AC91" s="13"/>
      <c r="AD91" s="13"/>
      <c r="AE91" s="13"/>
      <c r="AF91" s="13"/>
      <c r="AG91" s="13"/>
      <c r="AH91" s="13"/>
      <c r="AI91" s="13"/>
      <c r="AJ91" s="13"/>
      <c r="AK91" s="13"/>
      <c r="AL91" s="13"/>
      <c r="AM91" s="13"/>
      <c r="AN91" s="13"/>
      <c r="AO91" s="13"/>
      <c r="AP91" s="13"/>
      <c r="AQ91" s="13"/>
      <c r="AR91" s="13"/>
      <c r="AS91" s="13"/>
      <c r="AT91" s="13"/>
      <c r="AU91" s="13"/>
      <c r="AV91" s="13"/>
      <c r="AW91" s="13"/>
      <c r="AX91" s="13"/>
      <c r="AY91" s="13"/>
      <c r="AZ91" s="13"/>
      <c r="BA91" s="13"/>
      <c r="BB91" s="13"/>
      <c r="BC91" s="13"/>
      <c r="BD91" s="13"/>
      <c r="BE91" s="13"/>
      <c r="BF91" s="13"/>
      <c r="BG91" s="13"/>
      <c r="BH91" s="13"/>
    </row>
    <row r="92" spans="1:60" x14ac:dyDescent="0.3">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row>
    <row r="93" spans="1:60" x14ac:dyDescent="0.3">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c r="AA93" s="13"/>
      <c r="AB93" s="13"/>
      <c r="AC93" s="13"/>
      <c r="AD93" s="13"/>
      <c r="AE93" s="13"/>
      <c r="AF93" s="13"/>
      <c r="AG93" s="13"/>
      <c r="AH93" s="13"/>
      <c r="AI93" s="13"/>
      <c r="AJ93" s="13"/>
      <c r="AK93" s="13"/>
      <c r="AL93" s="13"/>
      <c r="AM93" s="13"/>
      <c r="AN93" s="13"/>
      <c r="AO93" s="13"/>
      <c r="AP93" s="13"/>
      <c r="AQ93" s="13"/>
      <c r="AR93" s="13"/>
      <c r="AS93" s="13"/>
      <c r="AT93" s="13"/>
      <c r="AU93" s="13"/>
      <c r="AV93" s="13"/>
      <c r="AW93" s="13"/>
      <c r="AX93" s="13"/>
      <c r="AY93" s="13"/>
      <c r="AZ93" s="13"/>
      <c r="BA93" s="13"/>
      <c r="BB93" s="13"/>
      <c r="BC93" s="13"/>
      <c r="BD93" s="13"/>
      <c r="BE93" s="13"/>
      <c r="BF93" s="13"/>
      <c r="BG93" s="13"/>
      <c r="BH93" s="13"/>
    </row>
    <row r="94" spans="1:60" x14ac:dyDescent="0.3">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c r="AA94" s="13"/>
      <c r="AB94" s="13"/>
      <c r="AC94" s="13"/>
      <c r="AD94" s="13"/>
      <c r="AE94" s="13"/>
      <c r="AF94" s="13"/>
      <c r="AG94" s="13"/>
      <c r="AH94" s="13"/>
      <c r="AI94" s="13"/>
      <c r="AJ94" s="13"/>
      <c r="AK94" s="13"/>
      <c r="AL94" s="13"/>
      <c r="AM94" s="13"/>
      <c r="AN94" s="13"/>
      <c r="AO94" s="13"/>
      <c r="AP94" s="13"/>
      <c r="AQ94" s="13"/>
      <c r="AR94" s="13"/>
      <c r="AS94" s="13"/>
      <c r="AT94" s="13"/>
      <c r="AU94" s="13"/>
      <c r="AV94" s="13"/>
      <c r="AW94" s="13"/>
      <c r="AX94" s="13"/>
      <c r="AY94" s="13"/>
      <c r="AZ94" s="13"/>
      <c r="BA94" s="13"/>
      <c r="BB94" s="13"/>
      <c r="BC94" s="13"/>
      <c r="BD94" s="13"/>
      <c r="BE94" s="13"/>
      <c r="BF94" s="13"/>
      <c r="BG94" s="13"/>
      <c r="BH94" s="13"/>
    </row>
  </sheetData>
  <mergeCells count="1">
    <mergeCell ref="A1:AM3"/>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0859F-BB68-4CF3-A57A-DBA4F22E5658}">
  <dimension ref="A1:C14"/>
  <sheetViews>
    <sheetView workbookViewId="0">
      <selection activeCell="C14" sqref="C14"/>
    </sheetView>
  </sheetViews>
  <sheetFormatPr defaultRowHeight="14.4" x14ac:dyDescent="0.3"/>
  <cols>
    <col min="1" max="1" width="14.88671875" bestFit="1" customWidth="1"/>
    <col min="3" max="3" width="29.88671875" bestFit="1" customWidth="1"/>
  </cols>
  <sheetData>
    <row r="1" spans="1:3" x14ac:dyDescent="0.3">
      <c r="A1" t="s">
        <v>251</v>
      </c>
    </row>
    <row r="2" spans="1:3" x14ac:dyDescent="0.3">
      <c r="A2" s="2">
        <v>183077.68104278704</v>
      </c>
      <c r="C2" s="2" t="str">
        <f>"💰 Total Revenue: ₹" &amp; TEXT(GETPIVOTDATA("Total",$A$1),"#,##0")</f>
        <v>💰 Total Revenue: ₹1,83,078</v>
      </c>
    </row>
    <row r="5" spans="1:3" x14ac:dyDescent="0.3">
      <c r="A5" t="s">
        <v>252</v>
      </c>
    </row>
    <row r="6" spans="1:3" x14ac:dyDescent="0.3">
      <c r="A6">
        <v>100</v>
      </c>
      <c r="C6" t="str">
        <f>"📦 Total Orders: " &amp; TEXT(GETPIVOTDATA("Order_ID",$A$5),"#,##0")</f>
        <v>📦 Total Orders: 100</v>
      </c>
    </row>
    <row r="9" spans="1:3" x14ac:dyDescent="0.3">
      <c r="A9" t="s">
        <v>279</v>
      </c>
    </row>
    <row r="10" spans="1:3" x14ac:dyDescent="0.3">
      <c r="A10" s="15">
        <v>307.44680851063833</v>
      </c>
      <c r="C10" s="6" t="str">
        <f>"🛒 Total Units Sold: " &amp; TEXT(GETPIVOTDATA("Quantity",$A$9),"#,##0")</f>
        <v>🛒 Total Units Sold: 307</v>
      </c>
    </row>
    <row r="13" spans="1:3" x14ac:dyDescent="0.3">
      <c r="A13" t="s">
        <v>280</v>
      </c>
    </row>
    <row r="14" spans="1:3" x14ac:dyDescent="0.3">
      <c r="A14" s="6">
        <v>1830.7768104278703</v>
      </c>
      <c r="C14" s="2" t="str">
        <f>"🧾 Average Order Price: ₹" &amp; TEXT(GETPIVOTDATA("Total",$A$13),"#,##0.00")</f>
        <v>🧾 Average Order Price: ₹1,830.78</v>
      </c>
    </row>
  </sheetData>
  <pageMargins left="0.7" right="0.7" top="0.75" bottom="0.75" header="0.3" footer="0.3"/>
  <pageSetup orientation="portrait"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Raw Data</vt:lpstr>
      <vt:lpstr>Pivot-Table</vt:lpstr>
      <vt:lpstr>Dashboard</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dc:creator>
  <cp:lastModifiedBy>Dhruv Desai</cp:lastModifiedBy>
  <dcterms:created xsi:type="dcterms:W3CDTF">2015-06-05T18:17:20Z</dcterms:created>
  <dcterms:modified xsi:type="dcterms:W3CDTF">2026-04-02T11:53:48Z</dcterms:modified>
</cp:coreProperties>
</file>