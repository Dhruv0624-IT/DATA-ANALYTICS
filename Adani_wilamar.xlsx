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HRUV\Downloads\"/>
    </mc:Choice>
  </mc:AlternateContent>
  <xr:revisionPtr revIDLastSave="0" documentId="8_{4B1245F1-7C40-4A4A-8849-86B953B57BAB}" xr6:coauthVersionLast="47" xr6:coauthVersionMax="47" xr10:uidLastSave="{00000000-0000-0000-0000-000000000000}"/>
  <bookViews>
    <workbookView xWindow="-108" yWindow="-108" windowWidth="23256" windowHeight="13896" activeTab="2" xr2:uid="{BA3D6746-EE7A-4B5C-B713-D8036F180E3B}"/>
  </bookViews>
  <sheets>
    <sheet name="Sheet1" sheetId="1" r:id="rId1"/>
    <sheet name="Sheet2" sheetId="2" r:id="rId2"/>
    <sheet name="Sheet3" sheetId="3" r:id="rId3"/>
  </sheets>
  <definedNames>
    <definedName name="Slicer_Market_Share">#N/A</definedName>
    <definedName name="Slicer_Product_Categories">#N/A</definedName>
    <definedName name="Slicer_Year">#N/A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9" i="3" l="1"/>
  <c r="D139" i="3"/>
  <c r="C139" i="3"/>
  <c r="B139" i="3"/>
</calcChain>
</file>

<file path=xl/sharedStrings.xml><?xml version="1.0" encoding="utf-8"?>
<sst xmlns="http://schemas.openxmlformats.org/spreadsheetml/2006/main" count="39" uniqueCount="27">
  <si>
    <t>Year</t>
  </si>
  <si>
    <t>Revenue ₹Cr</t>
  </si>
  <si>
    <t>Net Profit ₹Cr</t>
  </si>
  <si>
    <t>Total Assets ₹Cr</t>
  </si>
  <si>
    <t>Total Expenses ₹Cr</t>
  </si>
  <si>
    <t>Employees</t>
  </si>
  <si>
    <t>Production Capacity (MT)</t>
  </si>
  <si>
    <t>Export Revenue ₹Cr</t>
  </si>
  <si>
    <t>Domestic Sales ₹Cr</t>
  </si>
  <si>
    <t>Market Share %</t>
  </si>
  <si>
    <t>Distribution Points</t>
  </si>
  <si>
    <t>Product Categories</t>
  </si>
  <si>
    <t>Row Labels</t>
  </si>
  <si>
    <t>Grand Total</t>
  </si>
  <si>
    <t>Sum of Revenue ₹Cr</t>
  </si>
  <si>
    <t>Sum of Net Profit ₹Cr</t>
  </si>
  <si>
    <t>Sum of Total Expenses ₹Cr</t>
  </si>
  <si>
    <t>Sum of Domestic Sales ₹Cr</t>
  </si>
  <si>
    <t>Sum of Export Revenue ₹Cr</t>
  </si>
  <si>
    <t>Average of Market Share %</t>
  </si>
  <si>
    <t>Max of Distribution Points</t>
  </si>
  <si>
    <t>Max of Product Categories</t>
  </si>
  <si>
    <t>Sum of Employees</t>
  </si>
  <si>
    <t xml:space="preserve">Revenue Growth </t>
  </si>
  <si>
    <t>Profit Growth</t>
  </si>
  <si>
    <t>Market Share</t>
  </si>
  <si>
    <t>Employee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</si>
</sst>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3" x14ac:knownFonts="1">
    <font>
      <sz val="8"/>
      <color theme="1"/>
      <name val="Calibri"/>
      <family val="2"/>
    </font>
    <font>
      <b/>
      <sz val="14"/>
      <color theme="1"/>
      <name val="Calibri"/>
      <family val="2"/>
    </font>
    <font>
      <b/>
      <sz val="16"/>
      <color theme="0"/>
      <name val="Calibri"/>
      <family val="2"/>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6">
    <xf numFmtId="0" fontId="0" fillId="0" borderId="0" xfId="0"/>
    <xf numFmtId="10" fontId="0" fillId="0" borderId="0" xfId="0" applyNumberFormat="1"/>
    <xf numFmtId="0" fontId="1" fillId="0" borderId="0" xfId="0" applyFont="1" applyAlignment="1">
      <alignment horizontal="center" vertical="center" wrapText="1"/>
    </xf>
    <xf numFmtId="169"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0" fontId="0" fillId="0" borderId="0" xfId="0" pivotButton="1"/>
    <xf numFmtId="0" fontId="0" fillId="0" borderId="0" xfId="0" applyAlignment="1">
      <alignment horizontal="left"/>
    </xf>
    <xf numFmtId="169" fontId="0" fillId="0" borderId="0" xfId="0" applyNumberFormat="1"/>
    <xf numFmtId="0" fontId="1" fillId="0" borderId="0" xfId="0" applyNumberFormat="1" applyFont="1" applyAlignment="1">
      <alignment horizontal="center" vertical="center" wrapText="1"/>
    </xf>
    <xf numFmtId="0" fontId="0" fillId="0" borderId="0" xfId="0" applyNumberFormat="1"/>
    <xf numFmtId="0" fontId="0" fillId="2" borderId="0" xfId="0" applyFill="1" applyBorder="1"/>
    <xf numFmtId="0" fontId="0" fillId="2" borderId="0" xfId="0" applyFill="1" applyAlignment="1">
      <alignment horizontal="center"/>
    </xf>
    <xf numFmtId="0" fontId="0" fillId="2" borderId="0" xfId="0" applyFill="1" applyBorder="1" applyAlignment="1">
      <alignment horizontal="center"/>
    </xf>
    <xf numFmtId="0" fontId="0" fillId="2" borderId="0" xfId="0" applyFill="1"/>
    <xf numFmtId="0" fontId="2" fillId="2" borderId="0" xfId="0" applyFont="1" applyFill="1" applyAlignment="1">
      <alignment horizontal="center"/>
    </xf>
    <xf numFmtId="0" fontId="2" fillId="2" borderId="0" xfId="0" applyFont="1" applyFill="1" applyBorder="1" applyAlignment="1">
      <alignment horizontal="center"/>
    </xf>
  </cellXfs>
  <cellStyles count="1">
    <cellStyle name="Normal" xfId="0" builtinId="0"/>
  </cellStyles>
  <dxfs count="16">
    <dxf>
      <numFmt numFmtId="0" formatCode="General"/>
    </dxf>
    <dxf>
      <numFmt numFmtId="0" formatCode="General"/>
    </dxf>
    <dxf>
      <font>
        <b/>
        <strike val="0"/>
        <outline val="0"/>
        <shadow val="0"/>
        <u val="none"/>
        <vertAlign val="baseline"/>
        <sz val="14"/>
        <color theme="1"/>
        <name val="Calibri"/>
        <family val="2"/>
        <scheme val="none"/>
      </font>
      <numFmt numFmtId="0" formatCode="General"/>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9"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9"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9"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4" formatCode="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9"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9"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9"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9"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4"/>
        <color theme="1"/>
        <name val="Calibri"/>
        <family val="2"/>
        <scheme val="none"/>
      </font>
      <alignment horizontal="center" vertical="center" textRotation="0" wrapText="1" indent="0" justifyLastLine="0" shrinkToFit="0" readingOrder="0"/>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Increase in</a:t>
            </a:r>
            <a:r>
              <a:rPr lang="en-US" baseline="0"/>
              <a:t> number of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Sheet2!$B$158</c:f>
              <c:strCache>
                <c:ptCount val="1"/>
                <c:pt idx="0">
                  <c:v>Total</c:v>
                </c:pt>
              </c:strCache>
            </c:strRef>
          </c:tx>
          <c:spPr>
            <a:solidFill>
              <a:schemeClr val="accent1"/>
            </a:solidFill>
            <a:ln>
              <a:noFill/>
            </a:ln>
            <a:effectLst/>
          </c:spPr>
          <c:invertIfNegative val="0"/>
          <c:cat>
            <c:strRef>
              <c:f>Sheet2!$A$159:$A$186</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Sheet2!$B$159:$B$186</c:f>
              <c:numCache>
                <c:formatCode>General</c:formatCode>
                <c:ptCount val="27"/>
                <c:pt idx="0">
                  <c:v>2</c:v>
                </c:pt>
                <c:pt idx="1">
                  <c:v>2</c:v>
                </c:pt>
                <c:pt idx="2">
                  <c:v>2</c:v>
                </c:pt>
                <c:pt idx="3">
                  <c:v>2</c:v>
                </c:pt>
                <c:pt idx="4">
                  <c:v>3</c:v>
                </c:pt>
                <c:pt idx="5">
                  <c:v>3</c:v>
                </c:pt>
                <c:pt idx="6">
                  <c:v>3</c:v>
                </c:pt>
                <c:pt idx="7">
                  <c:v>3</c:v>
                </c:pt>
                <c:pt idx="8">
                  <c:v>4</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10</c:v>
                </c:pt>
              </c:numCache>
            </c:numRef>
          </c:val>
          <c:extLst>
            <c:ext xmlns:c16="http://schemas.microsoft.com/office/drawing/2014/chart" uri="{C3380CC4-5D6E-409C-BE32-E72D297353CC}">
              <c16:uniqueId val="{00000000-6E8A-4998-9889-EC5DA9AD6D4C}"/>
            </c:ext>
          </c:extLst>
        </c:ser>
        <c:dLbls>
          <c:showLegendKey val="0"/>
          <c:showVal val="0"/>
          <c:showCatName val="0"/>
          <c:showSerName val="0"/>
          <c:showPercent val="0"/>
          <c:showBubbleSize val="0"/>
        </c:dLbls>
        <c:gapWidth val="219"/>
        <c:overlap val="-27"/>
        <c:axId val="166396287"/>
        <c:axId val="166396767"/>
      </c:barChart>
      <c:catAx>
        <c:axId val="16639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6767"/>
        <c:crosses val="autoZero"/>
        <c:auto val="1"/>
        <c:lblAlgn val="ctr"/>
        <c:lblOffset val="100"/>
        <c:noMultiLvlLbl val="0"/>
      </c:catAx>
      <c:valAx>
        <c:axId val="16639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Sheet2!$B$188</c:f>
              <c:strCache>
                <c:ptCount val="1"/>
                <c:pt idx="0">
                  <c:v>Total</c:v>
                </c:pt>
              </c:strCache>
            </c:strRef>
          </c:tx>
          <c:spPr>
            <a:ln w="28575" cap="rnd">
              <a:solidFill>
                <a:schemeClr val="accent1"/>
              </a:solidFill>
              <a:round/>
            </a:ln>
            <a:effectLst/>
          </c:spPr>
          <c:marker>
            <c:symbol val="none"/>
          </c:marker>
          <c:cat>
            <c:strRef>
              <c:f>Sheet2!$A$189:$A$216</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Sheet2!$B$189:$B$216</c:f>
              <c:numCache>
                <c:formatCode>General</c:formatCode>
                <c:ptCount val="27"/>
                <c:pt idx="0">
                  <c:v>120</c:v>
                </c:pt>
                <c:pt idx="1">
                  <c:v>150</c:v>
                </c:pt>
                <c:pt idx="2">
                  <c:v>180</c:v>
                </c:pt>
                <c:pt idx="3">
                  <c:v>210</c:v>
                </c:pt>
                <c:pt idx="4">
                  <c:v>250</c:v>
                </c:pt>
                <c:pt idx="5">
                  <c:v>300</c:v>
                </c:pt>
                <c:pt idx="6">
                  <c:v>350</c:v>
                </c:pt>
                <c:pt idx="7">
                  <c:v>420</c:v>
                </c:pt>
                <c:pt idx="8">
                  <c:v>500</c:v>
                </c:pt>
                <c:pt idx="9">
                  <c:v>620</c:v>
                </c:pt>
                <c:pt idx="10">
                  <c:v>700</c:v>
                </c:pt>
                <c:pt idx="11">
                  <c:v>820</c:v>
                </c:pt>
                <c:pt idx="12">
                  <c:v>950</c:v>
                </c:pt>
                <c:pt idx="13">
                  <c:v>1100</c:v>
                </c:pt>
                <c:pt idx="14">
                  <c:v>1400</c:v>
                </c:pt>
                <c:pt idx="15">
                  <c:v>1700</c:v>
                </c:pt>
                <c:pt idx="16">
                  <c:v>2000</c:v>
                </c:pt>
                <c:pt idx="17">
                  <c:v>2400</c:v>
                </c:pt>
                <c:pt idx="18">
                  <c:v>2800</c:v>
                </c:pt>
                <c:pt idx="19">
                  <c:v>3200</c:v>
                </c:pt>
                <c:pt idx="20">
                  <c:v>3500</c:v>
                </c:pt>
                <c:pt idx="21">
                  <c:v>3800</c:v>
                </c:pt>
                <c:pt idx="22">
                  <c:v>4000</c:v>
                </c:pt>
                <c:pt idx="23">
                  <c:v>4200</c:v>
                </c:pt>
                <c:pt idx="24">
                  <c:v>4500</c:v>
                </c:pt>
                <c:pt idx="25">
                  <c:v>4700</c:v>
                </c:pt>
                <c:pt idx="26">
                  <c:v>5000</c:v>
                </c:pt>
              </c:numCache>
            </c:numRef>
          </c:val>
          <c:smooth val="0"/>
          <c:extLst>
            <c:ext xmlns:c16="http://schemas.microsoft.com/office/drawing/2014/chart" uri="{C3380CC4-5D6E-409C-BE32-E72D297353CC}">
              <c16:uniqueId val="{00000000-68EA-4C2E-8E0A-E9B7F69A59BB}"/>
            </c:ext>
          </c:extLst>
        </c:ser>
        <c:dLbls>
          <c:showLegendKey val="0"/>
          <c:showVal val="0"/>
          <c:showCatName val="0"/>
          <c:showSerName val="0"/>
          <c:showPercent val="0"/>
          <c:showBubbleSize val="0"/>
        </c:dLbls>
        <c:smooth val="0"/>
        <c:axId val="171170527"/>
        <c:axId val="171172927"/>
      </c:lineChart>
      <c:catAx>
        <c:axId val="17117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2927"/>
        <c:crosses val="autoZero"/>
        <c:auto val="1"/>
        <c:lblAlgn val="ctr"/>
        <c:lblOffset val="100"/>
        <c:noMultiLvlLbl val="0"/>
      </c:catAx>
      <c:valAx>
        <c:axId val="17117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[Adani_wilamar.xlsx]Sheet2!PivotTable1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Growth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Sheet2!$A$4:$A$31</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Sheet2!$B$4:$B$31</c:f>
              <c:numCache>
                <c:formatCode>"₹"\ #,##0.00</c:formatCode>
                <c:ptCount val="27"/>
                <c:pt idx="0">
                  <c:v>200</c:v>
                </c:pt>
                <c:pt idx="1">
                  <c:v>250</c:v>
                </c:pt>
                <c:pt idx="2">
                  <c:v>310</c:v>
                </c:pt>
                <c:pt idx="3">
                  <c:v>380</c:v>
                </c:pt>
                <c:pt idx="4">
                  <c:v>450</c:v>
                </c:pt>
                <c:pt idx="5">
                  <c:v>520</c:v>
                </c:pt>
                <c:pt idx="6">
                  <c:v>650</c:v>
                </c:pt>
                <c:pt idx="7">
                  <c:v>820</c:v>
                </c:pt>
                <c:pt idx="8">
                  <c:v>1100</c:v>
                </c:pt>
                <c:pt idx="9">
                  <c:v>1500</c:v>
                </c:pt>
                <c:pt idx="10">
                  <c:v>2100</c:v>
                </c:pt>
                <c:pt idx="11">
                  <c:v>2800</c:v>
                </c:pt>
                <c:pt idx="12">
                  <c:v>3800</c:v>
                </c:pt>
                <c:pt idx="13">
                  <c:v>5200</c:v>
                </c:pt>
                <c:pt idx="14">
                  <c:v>7500</c:v>
                </c:pt>
                <c:pt idx="15">
                  <c:v>11000</c:v>
                </c:pt>
                <c:pt idx="16">
                  <c:v>15000</c:v>
                </c:pt>
                <c:pt idx="17">
                  <c:v>21000</c:v>
                </c:pt>
                <c:pt idx="18">
                  <c:v>26000</c:v>
                </c:pt>
                <c:pt idx="19">
                  <c:v>30000</c:v>
                </c:pt>
                <c:pt idx="20">
                  <c:v>29000</c:v>
                </c:pt>
                <c:pt idx="21">
                  <c:v>32800</c:v>
                </c:pt>
                <c:pt idx="22">
                  <c:v>37090</c:v>
                </c:pt>
                <c:pt idx="23">
                  <c:v>52361</c:v>
                </c:pt>
                <c:pt idx="24">
                  <c:v>58185</c:v>
                </c:pt>
                <c:pt idx="25">
                  <c:v>51262</c:v>
                </c:pt>
                <c:pt idx="26">
                  <c:v>61573</c:v>
                </c:pt>
              </c:numCache>
            </c:numRef>
          </c:val>
          <c:smooth val="0"/>
          <c:extLst>
            <c:ext xmlns:c16="http://schemas.microsoft.com/office/drawing/2014/chart" uri="{C3380CC4-5D6E-409C-BE32-E72D297353CC}">
              <c16:uniqueId val="{00000000-B000-43EC-8056-02702DD18355}"/>
            </c:ext>
          </c:extLst>
        </c:ser>
        <c:dLbls>
          <c:showLegendKey val="0"/>
          <c:showVal val="0"/>
          <c:showCatName val="0"/>
          <c:showSerName val="0"/>
          <c:showPercent val="0"/>
          <c:showBubbleSize val="0"/>
        </c:dLbls>
        <c:marker val="1"/>
        <c:smooth val="0"/>
        <c:axId val="1707963695"/>
        <c:axId val="1707948335"/>
      </c:lineChart>
      <c:catAx>
        <c:axId val="17079636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7948335"/>
        <c:crosses val="autoZero"/>
        <c:auto val="1"/>
        <c:lblAlgn val="ctr"/>
        <c:lblOffset val="100"/>
        <c:noMultiLvlLbl val="0"/>
      </c:catAx>
      <c:valAx>
        <c:axId val="17079483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796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[Adani_wilamar.xlsx]Sheet2!PivotTable2</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Sheet2!$B$34</c:f>
              <c:strCache>
                <c:ptCount val="1"/>
                <c:pt idx="0">
                  <c:v>Sum of Net Profit ₹Cr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Sheet2!$A$35:$A$62</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Sheet2!$B$35:$B$62</c:f>
              <c:numCache>
                <c:formatCode>"₹"\ #,##0.00</c:formatCode>
                <c:ptCount val="27"/>
                <c:pt idx="0">
                  <c:v>5</c:v>
                </c:pt>
                <c:pt idx="1">
                  <c:v>7</c:v>
                </c:pt>
                <c:pt idx="2">
                  <c:v>9</c:v>
                </c:pt>
                <c:pt idx="3">
                  <c:v>12</c:v>
                </c:pt>
                <c:pt idx="4">
                  <c:v>15</c:v>
                </c:pt>
                <c:pt idx="5">
                  <c:v>18</c:v>
                </c:pt>
                <c:pt idx="6">
                  <c:v>25</c:v>
                </c:pt>
                <c:pt idx="7">
                  <c:v>40</c:v>
                </c:pt>
                <c:pt idx="8">
                  <c:v>55</c:v>
                </c:pt>
                <c:pt idx="9">
                  <c:v>75</c:v>
                </c:pt>
                <c:pt idx="10">
                  <c:v>95</c:v>
                </c:pt>
                <c:pt idx="11">
                  <c:v>120</c:v>
                </c:pt>
                <c:pt idx="12">
                  <c:v>160</c:v>
                </c:pt>
                <c:pt idx="13">
                  <c:v>220</c:v>
                </c:pt>
                <c:pt idx="14">
                  <c:v>300</c:v>
                </c:pt>
                <c:pt idx="15">
                  <c:v>340</c:v>
                </c:pt>
                <c:pt idx="16">
                  <c:v>420</c:v>
                </c:pt>
                <c:pt idx="17">
                  <c:v>480</c:v>
                </c:pt>
                <c:pt idx="18">
                  <c:v>520</c:v>
                </c:pt>
                <c:pt idx="19">
                  <c:v>600</c:v>
                </c:pt>
                <c:pt idx="20">
                  <c:v>380</c:v>
                </c:pt>
                <c:pt idx="21">
                  <c:v>460</c:v>
                </c:pt>
                <c:pt idx="22">
                  <c:v>770</c:v>
                </c:pt>
                <c:pt idx="23">
                  <c:v>807</c:v>
                </c:pt>
                <c:pt idx="24">
                  <c:v>582</c:v>
                </c:pt>
                <c:pt idx="25">
                  <c:v>148</c:v>
                </c:pt>
                <c:pt idx="26">
                  <c:v>1216</c:v>
                </c:pt>
              </c:numCache>
            </c:numRef>
          </c:val>
          <c:extLst>
            <c:ext xmlns:c16="http://schemas.microsoft.com/office/drawing/2014/chart" uri="{C3380CC4-5D6E-409C-BE32-E72D297353CC}">
              <c16:uniqueId val="{00000000-107D-4E79-BDB1-315EAF8C376B}"/>
            </c:ext>
          </c:extLst>
        </c:ser>
        <c:ser>
          <c:idx val="1"/>
          <c:order val="1"/>
          <c:tx>
            <c:strRef>
              <c:f>Sheet2!$C$34</c:f>
              <c:strCache>
                <c:ptCount val="1"/>
                <c:pt idx="0">
                  <c:v>Sum of Total Expenses ₹Cr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Sheet2!$A$35:$A$62</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Sheet2!$C$35:$C$62</c:f>
              <c:numCache>
                <c:formatCode>"₹"\ #,##0.00</c:formatCode>
                <c:ptCount val="27"/>
                <c:pt idx="0">
                  <c:v>195</c:v>
                </c:pt>
                <c:pt idx="1">
                  <c:v>243</c:v>
                </c:pt>
                <c:pt idx="2">
                  <c:v>301</c:v>
                </c:pt>
                <c:pt idx="3">
                  <c:v>368</c:v>
                </c:pt>
                <c:pt idx="4">
                  <c:v>435</c:v>
                </c:pt>
                <c:pt idx="5">
                  <c:v>502</c:v>
                </c:pt>
                <c:pt idx="6">
                  <c:v>625</c:v>
                </c:pt>
                <c:pt idx="7">
                  <c:v>780</c:v>
                </c:pt>
                <c:pt idx="8">
                  <c:v>1045</c:v>
                </c:pt>
                <c:pt idx="9">
                  <c:v>1425</c:v>
                </c:pt>
                <c:pt idx="10">
                  <c:v>2005</c:v>
                </c:pt>
                <c:pt idx="11">
                  <c:v>2680</c:v>
                </c:pt>
                <c:pt idx="12">
                  <c:v>3640</c:v>
                </c:pt>
                <c:pt idx="13">
                  <c:v>4980</c:v>
                </c:pt>
                <c:pt idx="14">
                  <c:v>7200</c:v>
                </c:pt>
                <c:pt idx="15">
                  <c:v>10660</c:v>
                </c:pt>
                <c:pt idx="16">
                  <c:v>14580</c:v>
                </c:pt>
                <c:pt idx="17">
                  <c:v>20520</c:v>
                </c:pt>
                <c:pt idx="18">
                  <c:v>25480</c:v>
                </c:pt>
                <c:pt idx="19">
                  <c:v>29400</c:v>
                </c:pt>
                <c:pt idx="20">
                  <c:v>28620</c:v>
                </c:pt>
                <c:pt idx="21">
                  <c:v>32340</c:v>
                </c:pt>
                <c:pt idx="22">
                  <c:v>36320</c:v>
                </c:pt>
                <c:pt idx="23">
                  <c:v>51554</c:v>
                </c:pt>
                <c:pt idx="24">
                  <c:v>57603</c:v>
                </c:pt>
                <c:pt idx="25">
                  <c:v>51114</c:v>
                </c:pt>
                <c:pt idx="26">
                  <c:v>60357</c:v>
                </c:pt>
              </c:numCache>
            </c:numRef>
          </c:val>
          <c:extLst>
            <c:ext xmlns:c16="http://schemas.microsoft.com/office/drawing/2014/chart" uri="{C3380CC4-5D6E-409C-BE32-E72D297353CC}">
              <c16:uniqueId val="{00000001-107D-4E79-BDB1-315EAF8C376B}"/>
            </c:ext>
          </c:extLst>
        </c:ser>
        <c:dLbls>
          <c:showLegendKey val="0"/>
          <c:showVal val="0"/>
          <c:showCatName val="0"/>
          <c:showSerName val="0"/>
          <c:showPercent val="0"/>
          <c:showBubbleSize val="0"/>
        </c:dLbls>
        <c:gapWidth val="100"/>
        <c:overlap val="-24"/>
        <c:axId val="2110035247"/>
        <c:axId val="2110032847"/>
      </c:barChart>
      <c:catAx>
        <c:axId val="2110035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0032847"/>
        <c:crosses val="autoZero"/>
        <c:auto val="1"/>
        <c:lblAlgn val="ctr"/>
        <c:lblOffset val="100"/>
        <c:noMultiLvlLbl val="0"/>
      </c:catAx>
      <c:valAx>
        <c:axId val="211003284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00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[Adani_wilamar.xlsx]Sheet2!PivotTable3</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Sheet2!$B$65</c:f>
              <c:strCache>
                <c:ptCount val="1"/>
                <c:pt idx="0">
                  <c:v>Sum of Domestic Sales ₹Cr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Sheet2!$A$66:$A$93</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Sheet2!$B$66:$B$93</c:f>
              <c:numCache>
                <c:formatCode>"₹"\ #,##0.00</c:formatCode>
                <c:ptCount val="27"/>
                <c:pt idx="0">
                  <c:v>180</c:v>
                </c:pt>
                <c:pt idx="1">
                  <c:v>225</c:v>
                </c:pt>
                <c:pt idx="2">
                  <c:v>280</c:v>
                </c:pt>
                <c:pt idx="3">
                  <c:v>345</c:v>
                </c:pt>
                <c:pt idx="4">
                  <c:v>410</c:v>
                </c:pt>
                <c:pt idx="5">
                  <c:v>475</c:v>
                </c:pt>
                <c:pt idx="6">
                  <c:v>595</c:v>
                </c:pt>
                <c:pt idx="7">
                  <c:v>750</c:v>
                </c:pt>
                <c:pt idx="8">
                  <c:v>1010</c:v>
                </c:pt>
                <c:pt idx="9">
                  <c:v>1380</c:v>
                </c:pt>
                <c:pt idx="10">
                  <c:v>1950</c:v>
                </c:pt>
                <c:pt idx="11">
                  <c:v>2600</c:v>
                </c:pt>
                <c:pt idx="12">
                  <c:v>3540</c:v>
                </c:pt>
                <c:pt idx="13">
                  <c:v>4850</c:v>
                </c:pt>
                <c:pt idx="14">
                  <c:v>7020</c:v>
                </c:pt>
                <c:pt idx="15">
                  <c:v>10350</c:v>
                </c:pt>
                <c:pt idx="16">
                  <c:v>14150</c:v>
                </c:pt>
                <c:pt idx="17">
                  <c:v>19900</c:v>
                </c:pt>
                <c:pt idx="18">
                  <c:v>24700</c:v>
                </c:pt>
                <c:pt idx="19">
                  <c:v>28500</c:v>
                </c:pt>
                <c:pt idx="20">
                  <c:v>27400</c:v>
                </c:pt>
                <c:pt idx="21">
                  <c:v>31000</c:v>
                </c:pt>
                <c:pt idx="22">
                  <c:v>35090</c:v>
                </c:pt>
                <c:pt idx="23">
                  <c:v>49761</c:v>
                </c:pt>
                <c:pt idx="24">
                  <c:v>55185</c:v>
                </c:pt>
                <c:pt idx="25">
                  <c:v>48062</c:v>
                </c:pt>
                <c:pt idx="26">
                  <c:v>57973</c:v>
                </c:pt>
              </c:numCache>
            </c:numRef>
          </c:val>
          <c:extLst>
            <c:ext xmlns:c16="http://schemas.microsoft.com/office/drawing/2014/chart" uri="{C3380CC4-5D6E-409C-BE32-E72D297353CC}">
              <c16:uniqueId val="{00000000-1ADC-4D73-966C-BB9AC9946470}"/>
            </c:ext>
          </c:extLst>
        </c:ser>
        <c:ser>
          <c:idx val="1"/>
          <c:order val="1"/>
          <c:tx>
            <c:strRef>
              <c:f>Sheet2!$C$65</c:f>
              <c:strCache>
                <c:ptCount val="1"/>
                <c:pt idx="0">
                  <c:v>Sum of Export Revenue ₹Cr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Sheet2!$A$66:$A$93</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Sheet2!$C$66:$C$93</c:f>
              <c:numCache>
                <c:formatCode>"₹"\ #,##0.00</c:formatCode>
                <c:ptCount val="27"/>
                <c:pt idx="0">
                  <c:v>20</c:v>
                </c:pt>
                <c:pt idx="1">
                  <c:v>25</c:v>
                </c:pt>
                <c:pt idx="2">
                  <c:v>30</c:v>
                </c:pt>
                <c:pt idx="3">
                  <c:v>35</c:v>
                </c:pt>
                <c:pt idx="4">
                  <c:v>40</c:v>
                </c:pt>
                <c:pt idx="5">
                  <c:v>45</c:v>
                </c:pt>
                <c:pt idx="6">
                  <c:v>55</c:v>
                </c:pt>
                <c:pt idx="7">
                  <c:v>70</c:v>
                </c:pt>
                <c:pt idx="8">
                  <c:v>90</c:v>
                </c:pt>
                <c:pt idx="9">
                  <c:v>120</c:v>
                </c:pt>
                <c:pt idx="10">
                  <c:v>150</c:v>
                </c:pt>
                <c:pt idx="11">
                  <c:v>200</c:v>
                </c:pt>
                <c:pt idx="12">
                  <c:v>260</c:v>
                </c:pt>
                <c:pt idx="13">
                  <c:v>350</c:v>
                </c:pt>
                <c:pt idx="14">
                  <c:v>480</c:v>
                </c:pt>
                <c:pt idx="15">
                  <c:v>650</c:v>
                </c:pt>
                <c:pt idx="16">
                  <c:v>850</c:v>
                </c:pt>
                <c:pt idx="17">
                  <c:v>1100</c:v>
                </c:pt>
                <c:pt idx="18">
                  <c:v>1300</c:v>
                </c:pt>
                <c:pt idx="19">
                  <c:v>1500</c:v>
                </c:pt>
                <c:pt idx="20">
                  <c:v>1600</c:v>
                </c:pt>
                <c:pt idx="21">
                  <c:v>1800</c:v>
                </c:pt>
                <c:pt idx="22">
                  <c:v>2000</c:v>
                </c:pt>
                <c:pt idx="23">
                  <c:v>2600</c:v>
                </c:pt>
                <c:pt idx="24">
                  <c:v>3000</c:v>
                </c:pt>
                <c:pt idx="25">
                  <c:v>3200</c:v>
                </c:pt>
                <c:pt idx="26">
                  <c:v>3600</c:v>
                </c:pt>
              </c:numCache>
            </c:numRef>
          </c:val>
          <c:extLst>
            <c:ext xmlns:c16="http://schemas.microsoft.com/office/drawing/2014/chart" uri="{C3380CC4-5D6E-409C-BE32-E72D297353CC}">
              <c16:uniqueId val="{00000001-1ADC-4D73-966C-BB9AC9946470}"/>
            </c:ext>
          </c:extLst>
        </c:ser>
        <c:dLbls>
          <c:showLegendKey val="0"/>
          <c:showVal val="0"/>
          <c:showCatName val="0"/>
          <c:showSerName val="0"/>
          <c:showPercent val="0"/>
          <c:showBubbleSize val="0"/>
        </c:dLbls>
        <c:gapWidth val="150"/>
        <c:axId val="2109994927"/>
        <c:axId val="2109987727"/>
      </c:barChart>
      <c:catAx>
        <c:axId val="210999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9987727"/>
        <c:crosses val="autoZero"/>
        <c:auto val="1"/>
        <c:lblAlgn val="ctr"/>
        <c:lblOffset val="100"/>
        <c:noMultiLvlLbl val="0"/>
      </c:catAx>
      <c:valAx>
        <c:axId val="210998772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999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[Adani_wilamar.xlsx]Sheet2!PivotTable4</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Market Share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Sheet2!$B$96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Sheet2!$A$97:$A$124</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Sheet2!$B$97:$B$124</c:f>
              <c:numCache>
                <c:formatCode>0.00%</c:formatCode>
                <c:ptCount val="27"/>
                <c:pt idx="0">
                  <c:v>2</c:v>
                </c:pt>
                <c:pt idx="1">
                  <c:v>2.2999999999999998</c:v>
                </c:pt>
                <c:pt idx="2">
                  <c:v>2.5</c:v>
                </c:pt>
                <c:pt idx="3">
                  <c:v>2.8</c:v>
                </c:pt>
                <c:pt idx="4">
                  <c:v>3.2</c:v>
                </c:pt>
                <c:pt idx="5">
                  <c:v>3.6</c:v>
                </c:pt>
                <c:pt idx="6">
                  <c:v>4</c:v>
                </c:pt>
                <c:pt idx="7">
                  <c:v>4.8</c:v>
                </c:pt>
                <c:pt idx="8">
                  <c:v>5.5</c:v>
                </c:pt>
                <c:pt idx="9">
                  <c:v>6</c:v>
                </c:pt>
                <c:pt idx="10">
                  <c:v>6.8</c:v>
                </c:pt>
                <c:pt idx="11">
                  <c:v>7.5</c:v>
                </c:pt>
                <c:pt idx="12">
                  <c:v>8</c:v>
                </c:pt>
                <c:pt idx="13">
                  <c:v>8.5</c:v>
                </c:pt>
                <c:pt idx="14">
                  <c:v>9</c:v>
                </c:pt>
                <c:pt idx="15">
                  <c:v>10</c:v>
                </c:pt>
                <c:pt idx="16">
                  <c:v>11</c:v>
                </c:pt>
                <c:pt idx="17">
                  <c:v>12</c:v>
                </c:pt>
                <c:pt idx="18">
                  <c:v>13</c:v>
                </c:pt>
                <c:pt idx="19">
                  <c:v>14</c:v>
                </c:pt>
                <c:pt idx="20">
                  <c:v>15</c:v>
                </c:pt>
                <c:pt idx="21">
                  <c:v>16</c:v>
                </c:pt>
                <c:pt idx="22">
                  <c:v>17</c:v>
                </c:pt>
                <c:pt idx="23">
                  <c:v>18</c:v>
                </c:pt>
                <c:pt idx="24">
                  <c:v>19</c:v>
                </c:pt>
                <c:pt idx="25">
                  <c:v>19.5</c:v>
                </c:pt>
                <c:pt idx="26">
                  <c:v>20</c:v>
                </c:pt>
              </c:numCache>
            </c:numRef>
          </c:val>
          <c:smooth val="0"/>
          <c:extLst>
            <c:ext xmlns:c16="http://schemas.microsoft.com/office/drawing/2014/chart" uri="{C3380CC4-5D6E-409C-BE32-E72D297353CC}">
              <c16:uniqueId val="{00000000-20F4-4648-BB89-85A756812CE7}"/>
            </c:ext>
          </c:extLst>
        </c:ser>
        <c:dLbls>
          <c:showLegendKey val="0"/>
          <c:showVal val="0"/>
          <c:showCatName val="0"/>
          <c:showSerName val="0"/>
          <c:showPercent val="0"/>
          <c:showBubbleSize val="0"/>
        </c:dLbls>
        <c:marker val="1"/>
        <c:smooth val="0"/>
        <c:axId val="2109982927"/>
        <c:axId val="2109999727"/>
      </c:lineChart>
      <c:catAx>
        <c:axId val="2109982927"/>
        <c:scaling>
          <c:orientation val="minMax"/>
        </c:scaling>
        <c:delete val="0"/>
        <c:axPos val="b"/>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999727"/>
        <c:crosses val="autoZero"/>
        <c:auto val="1"/>
        <c:lblAlgn val="ctr"/>
        <c:lblOffset val="100"/>
        <c:noMultiLvlLbl val="0"/>
      </c:catAx>
      <c:valAx>
        <c:axId val="21099997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9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[Adani_wilamar.xlsx]Sheet2!PivotTable5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Increase in Network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Sheet2!$B$127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Sheet2!$A$128:$A$155</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Sheet2!$B$128:$B$155</c:f>
              <c:numCache>
                <c:formatCode>General</c:formatCode>
                <c:ptCount val="27"/>
                <c:pt idx="0">
                  <c:v>2000</c:v>
                </c:pt>
                <c:pt idx="1">
                  <c:v>2500</c:v>
                </c:pt>
                <c:pt idx="2">
                  <c:v>3000</c:v>
                </c:pt>
                <c:pt idx="3">
                  <c:v>3500</c:v>
                </c:pt>
                <c:pt idx="4">
                  <c:v>4000</c:v>
                </c:pt>
                <c:pt idx="5">
                  <c:v>5000</c:v>
                </c:pt>
                <c:pt idx="6">
                  <c:v>6000</c:v>
                </c:pt>
                <c:pt idx="7">
                  <c:v>7000</c:v>
                </c:pt>
                <c:pt idx="8">
                  <c:v>9000</c:v>
                </c:pt>
                <c:pt idx="9">
                  <c:v>11000</c:v>
                </c:pt>
                <c:pt idx="10">
                  <c:v>13000</c:v>
                </c:pt>
                <c:pt idx="11">
                  <c:v>15000</c:v>
                </c:pt>
                <c:pt idx="12">
                  <c:v>18000</c:v>
                </c:pt>
                <c:pt idx="13">
                  <c:v>22000</c:v>
                </c:pt>
                <c:pt idx="14">
                  <c:v>26000</c:v>
                </c:pt>
                <c:pt idx="15">
                  <c:v>30000</c:v>
                </c:pt>
                <c:pt idx="16">
                  <c:v>35000</c:v>
                </c:pt>
                <c:pt idx="17">
                  <c:v>40000</c:v>
                </c:pt>
                <c:pt idx="18">
                  <c:v>45000</c:v>
                </c:pt>
                <c:pt idx="19">
                  <c:v>50000</c:v>
                </c:pt>
                <c:pt idx="20">
                  <c:v>52000</c:v>
                </c:pt>
                <c:pt idx="21">
                  <c:v>55000</c:v>
                </c:pt>
                <c:pt idx="22">
                  <c:v>58000</c:v>
                </c:pt>
                <c:pt idx="23">
                  <c:v>60000</c:v>
                </c:pt>
                <c:pt idx="24">
                  <c:v>65000</c:v>
                </c:pt>
                <c:pt idx="25">
                  <c:v>68000</c:v>
                </c:pt>
                <c:pt idx="26">
                  <c:v>70000</c:v>
                </c:pt>
              </c:numCache>
            </c:numRef>
          </c:val>
          <c:smooth val="0"/>
          <c:extLst>
            <c:ext xmlns:c16="http://schemas.microsoft.com/office/drawing/2014/chart" uri="{C3380CC4-5D6E-409C-BE32-E72D297353CC}">
              <c16:uniqueId val="{00000000-15B8-46AE-A5A2-41D8131B1BFE}"/>
            </c:ext>
          </c:extLst>
        </c:ser>
        <c:dLbls>
          <c:showLegendKey val="0"/>
          <c:showVal val="0"/>
          <c:showCatName val="0"/>
          <c:showSerName val="0"/>
          <c:showPercent val="0"/>
          <c:showBubbleSize val="0"/>
        </c:dLbls>
        <c:marker val="1"/>
        <c:smooth val="0"/>
        <c:axId val="166370847"/>
        <c:axId val="166387647"/>
      </c:lineChart>
      <c:catAx>
        <c:axId val="1663708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87647"/>
        <c:crosses val="autoZero"/>
        <c:auto val="1"/>
        <c:lblAlgn val="ctr"/>
        <c:lblOffset val="100"/>
        <c:noMultiLvlLbl val="0"/>
      </c:catAx>
      <c:valAx>
        <c:axId val="166387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346074</xdr:colOff>
      <xdr:row>158</xdr:row>
      <xdr:rowOff>47625</xdr:rowOff>
    </xdr:from>
    <xdr:to>
      <xdr:col>12</xdr:col>
      <xdr:colOff>253999</xdr:colOff>
      <xdr:row>179</xdr:row>
      <xdr:rowOff>123825</xdr:rowOff>
    </xdr:to>
    <xdr:graphicFrame macro="">
      <xdr:nvGraphicFramePr>
        <xdr:cNvPr id="7" name="Chart 6">
          <a:extLst>
            <a:ext uri="{FF2B5EF4-FFF2-40B4-BE49-F238E27FC236}">
              <a16:creationId xmlns:a16="http://schemas.microsoft.com/office/drawing/2014/main" id="{80B94CA0-8FFB-580C-DAA7-33D96CD9B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327024</xdr:colOff>
      <xdr:row>187</xdr:row>
      <xdr:rowOff>38100</xdr:rowOff>
    </xdr:from>
    <xdr:to>
      <xdr:col>13</xdr:col>
      <xdr:colOff>6349</xdr:colOff>
      <xdr:row>215</xdr:row>
      <xdr:rowOff>107949</xdr:rowOff>
    </xdr:to>
    <xdr:graphicFrame macro="">
      <xdr:nvGraphicFramePr>
        <xdr:cNvPr id="8" name="Chart 7">
          <a:extLst>
            <a:ext uri="{FF2B5EF4-FFF2-40B4-BE49-F238E27FC236}">
              <a16:creationId xmlns:a16="http://schemas.microsoft.com/office/drawing/2014/main" id="{8174942F-CEC1-1AE7-A93E-6C6367800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482600</xdr:colOff>
      <xdr:row>8</xdr:row>
      <xdr:rowOff>8890</xdr:rowOff>
    </xdr:from>
    <xdr:to>
      <xdr:col>4</xdr:col>
      <xdr:colOff>254000</xdr:colOff>
      <xdr:row>19</xdr:row>
      <xdr:rowOff>88900</xdr:rowOff>
    </xdr:to>
    <mc:AlternateContent xmlns:mc="http://schemas.openxmlformats.org/markup-compatibility/2006">
      <mc:Choice xmlns:a14="http://schemas.microsoft.com/office/drawing/2010/main" Requires="a14">
        <xdr:graphicFrame macro="">
          <xdr:nvGraphicFramePr>
            <xdr:cNvPr id="11" name="Market Share %">
              <a:extLst>
                <a:ext uri="{FF2B5EF4-FFF2-40B4-BE49-F238E27FC236}">
                  <a16:creationId xmlns:a16="http://schemas.microsoft.com/office/drawing/2014/main" id="{5D5E9734-F3FE-0C34-BFA7-62779C42BCE0}"/>
                </a:ext>
              </a:extLst>
            </xdr:cNvPr>
            <xdr:cNvGraphicFramePr/>
          </xdr:nvGraphicFramePr>
          <xdr:xfrm>
            <a:off x="0" y="0"/>
            <a:ext cx="0" cy="0"/>
          </xdr:xfrm>
          <a:graphic>
            <a:graphicData uri="http://schemas.microsoft.com/office/drawing/2010/slicer">
              <sle:slicer xmlns:sle="http://schemas.microsoft.com/office/drawing/2010/slicer" name="Market Share %"/>
            </a:graphicData>
          </a:graphic>
        </xdr:graphicFrame>
      </mc:Choice>
      <mc:Fallback>
        <xdr:sp macro="" textlink="">
          <xdr:nvSpPr>
            <xdr:cNvPr id="0" name=""/>
            <xdr:cNvSpPr>
              <a:spLocks noTextEdit="1"/>
            </xdr:cNvSpPr>
          </xdr:nvSpPr>
          <xdr:spPr>
            <a:xfrm>
              <a:off x="1968500" y="1024890"/>
              <a:ext cx="1511300" cy="1477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0</xdr:row>
      <xdr:rowOff>68580</xdr:rowOff>
    </xdr:from>
    <xdr:to>
      <xdr:col>25</xdr:col>
      <xdr:colOff>220980</xdr:colOff>
      <xdr:row>8</xdr:row>
      <xdr:rowOff>0</xdr:rowOff>
    </xdr:to>
    <xdr:sp macro="" textlink="">
      <xdr:nvSpPr>
        <xdr:cNvPr id="3" name="Rectangle 2">
          <a:extLst>
            <a:ext uri="{FF2B5EF4-FFF2-40B4-BE49-F238E27FC236}">
              <a16:creationId xmlns:a16="http://schemas.microsoft.com/office/drawing/2014/main" id="{8A033F51-3A6C-F3A2-9675-5658B37AEAA5}"/>
            </a:ext>
          </a:extLst>
        </xdr:cNvPr>
        <xdr:cNvSpPr/>
      </xdr:nvSpPr>
      <xdr:spPr>
        <a:xfrm>
          <a:off x="1043940" y="68580"/>
          <a:ext cx="11369040" cy="967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ADANI WILMAR BUSINESS PERFORMANCE</a:t>
          </a:r>
        </a:p>
        <a:p>
          <a:pPr algn="ctr"/>
          <a:r>
            <a:rPr lang="en-IN" sz="2400" b="1"/>
            <a:t>(1999–2025) </a:t>
          </a:r>
        </a:p>
        <a:p>
          <a:pPr algn="ctr"/>
          <a:endParaRPr lang="en-IN" sz="2600" b="1"/>
        </a:p>
      </xdr:txBody>
    </xdr:sp>
    <xdr:clientData/>
  </xdr:twoCellAnchor>
  <xdr:twoCellAnchor editAs="oneCell">
    <xdr:from>
      <xdr:col>5</xdr:col>
      <xdr:colOff>7620</xdr:colOff>
      <xdr:row>8</xdr:row>
      <xdr:rowOff>91440</xdr:rowOff>
    </xdr:from>
    <xdr:to>
      <xdr:col>8</xdr:col>
      <xdr:colOff>457200</xdr:colOff>
      <xdr:row>23</xdr:row>
      <xdr:rowOff>68580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F3248E47-B75A-452B-84AC-AA7AA04F3A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06980" y="1127760"/>
              <a:ext cx="191262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8</xdr:row>
      <xdr:rowOff>83820</xdr:rowOff>
    </xdr:from>
    <xdr:to>
      <xdr:col>20</xdr:col>
      <xdr:colOff>198120</xdr:colOff>
      <xdr:row>23</xdr:row>
      <xdr:rowOff>76200</xdr:rowOff>
    </xdr:to>
    <mc:AlternateContent xmlns:mc="http://schemas.openxmlformats.org/markup-compatibility/2006">
      <mc:Choice xmlns:a14="http://schemas.microsoft.com/office/drawing/2010/main" Requires="a14">
        <xdr:graphicFrame macro="">
          <xdr:nvGraphicFramePr>
            <xdr:cNvPr id="5" name="Product Categories">
              <a:extLst>
                <a:ext uri="{FF2B5EF4-FFF2-40B4-BE49-F238E27FC236}">
                  <a16:creationId xmlns:a16="http://schemas.microsoft.com/office/drawing/2014/main" id="{3DE72916-DCF6-403C-99FB-4063D98E6295}"/>
                </a:ext>
              </a:extLst>
            </xdr:cNvPr>
            <xdr:cNvGraphicFramePr/>
          </xdr:nvGraphicFramePr>
          <xdr:xfrm>
            <a:off x="0" y="0"/>
            <a:ext cx="0" cy="0"/>
          </xdr:xfrm>
          <a:graphic>
            <a:graphicData uri="http://schemas.microsoft.com/office/drawing/2010/slicer">
              <sle:slicer xmlns:sle="http://schemas.microsoft.com/office/drawing/2010/slicer" name="Product Categories"/>
            </a:graphicData>
          </a:graphic>
        </xdr:graphicFrame>
      </mc:Choice>
      <mc:Fallback>
        <xdr:sp macro="" textlink="">
          <xdr:nvSpPr>
            <xdr:cNvPr id="0" name=""/>
            <xdr:cNvSpPr>
              <a:spLocks noTextEdit="1"/>
            </xdr:cNvSpPr>
          </xdr:nvSpPr>
          <xdr:spPr>
            <a:xfrm>
              <a:off x="8054340" y="1120140"/>
              <a:ext cx="195834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27</xdr:row>
      <xdr:rowOff>30480</xdr:rowOff>
    </xdr:from>
    <xdr:to>
      <xdr:col>5</xdr:col>
      <xdr:colOff>480060</xdr:colOff>
      <xdr:row>35</xdr:row>
      <xdr:rowOff>22860</xdr:rowOff>
    </xdr:to>
    <xdr:sp macro="" textlink="A139">
      <xdr:nvSpPr>
        <xdr:cNvPr id="7" name="Rectangle: Rounded Corners 6">
          <a:extLst>
            <a:ext uri="{FF2B5EF4-FFF2-40B4-BE49-F238E27FC236}">
              <a16:creationId xmlns:a16="http://schemas.microsoft.com/office/drawing/2014/main" id="{6584059E-506E-F754-CE35-CDBBB783A0E4}"/>
            </a:ext>
          </a:extLst>
        </xdr:cNvPr>
        <xdr:cNvSpPr/>
      </xdr:nvSpPr>
      <xdr:spPr>
        <a:xfrm>
          <a:off x="1036320" y="3528060"/>
          <a:ext cx="1943100" cy="10287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a:t>
          </a:r>
          <a:fld id="{0B8BADEF-AA50-4BDD-9AEA-E21DE031444A}" type="TxLink">
            <a:rPr lang="en-US" sz="2000" b="1" i="0" u="none" strike="noStrike">
              <a:solidFill>
                <a:schemeClr val="bg1"/>
              </a:solidFill>
              <a:latin typeface="Calibri"/>
              <a:ea typeface="Calibri"/>
              <a:cs typeface="Calibri"/>
            </a:rPr>
            <a:pPr algn="ctr"/>
            <a:t>30686.50%</a:t>
          </a:fld>
          <a:endParaRPr lang="en-IN" sz="2000" b="1">
            <a:solidFill>
              <a:schemeClr val="accent6"/>
            </a:solidFill>
          </a:endParaRPr>
        </a:p>
      </xdr:txBody>
    </xdr:sp>
    <xdr:clientData/>
  </xdr:twoCellAnchor>
  <xdr:twoCellAnchor>
    <xdr:from>
      <xdr:col>8</xdr:col>
      <xdr:colOff>0</xdr:colOff>
      <xdr:row>27</xdr:row>
      <xdr:rowOff>0</xdr:rowOff>
    </xdr:from>
    <xdr:to>
      <xdr:col>11</xdr:col>
      <xdr:colOff>480060</xdr:colOff>
      <xdr:row>34</xdr:row>
      <xdr:rowOff>121920</xdr:rowOff>
    </xdr:to>
    <xdr:sp macro="" textlink="B139">
      <xdr:nvSpPr>
        <xdr:cNvPr id="8" name="Rectangle: Rounded Corners 7">
          <a:extLst>
            <a:ext uri="{FF2B5EF4-FFF2-40B4-BE49-F238E27FC236}">
              <a16:creationId xmlns:a16="http://schemas.microsoft.com/office/drawing/2014/main" id="{C537E0BE-2F83-4CBD-A9AE-50745C33DAAD}"/>
            </a:ext>
          </a:extLst>
        </xdr:cNvPr>
        <xdr:cNvSpPr/>
      </xdr:nvSpPr>
      <xdr:spPr>
        <a:xfrm>
          <a:off x="3901440" y="3497580"/>
          <a:ext cx="1943100" cy="10287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a:t>
          </a:r>
          <a:fld id="{D39E639D-10EE-46E3-8FD1-B8AE918A6990}" type="TxLink">
            <a:rPr lang="en-US" sz="2000" b="1" i="0" u="none" strike="noStrike">
              <a:solidFill>
                <a:schemeClr val="bg1"/>
              </a:solidFill>
              <a:latin typeface="Calibri"/>
              <a:ea typeface="Calibri"/>
              <a:cs typeface="Calibri"/>
            </a:rPr>
            <a:pPr algn="ctr"/>
            <a:t>24220.00%</a:t>
          </a:fld>
          <a:endParaRPr lang="en-IN" sz="2000" b="1">
            <a:solidFill>
              <a:schemeClr val="bg1"/>
            </a:solidFill>
          </a:endParaRPr>
        </a:p>
      </xdr:txBody>
    </xdr:sp>
    <xdr:clientData/>
  </xdr:twoCellAnchor>
  <xdr:twoCellAnchor>
    <xdr:from>
      <xdr:col>14</xdr:col>
      <xdr:colOff>0</xdr:colOff>
      <xdr:row>27</xdr:row>
      <xdr:rowOff>45720</xdr:rowOff>
    </xdr:from>
    <xdr:to>
      <xdr:col>17</xdr:col>
      <xdr:colOff>480060</xdr:colOff>
      <xdr:row>35</xdr:row>
      <xdr:rowOff>38100</xdr:rowOff>
    </xdr:to>
    <xdr:sp macro="" textlink="C139">
      <xdr:nvSpPr>
        <xdr:cNvPr id="10" name="Rectangle: Rounded Corners 9">
          <a:extLst>
            <a:ext uri="{FF2B5EF4-FFF2-40B4-BE49-F238E27FC236}">
              <a16:creationId xmlns:a16="http://schemas.microsoft.com/office/drawing/2014/main" id="{B6218DF3-1922-4859-8573-3158A8BD3DE8}"/>
            </a:ext>
          </a:extLst>
        </xdr:cNvPr>
        <xdr:cNvSpPr/>
      </xdr:nvSpPr>
      <xdr:spPr>
        <a:xfrm>
          <a:off x="6888480" y="3543300"/>
          <a:ext cx="1943100" cy="102870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a:t>
          </a:r>
          <a:fld id="{7A0EF340-A077-4D3B-9296-F83B414968E7}" type="TxLink">
            <a:rPr lang="en-US" sz="2000" b="1" i="0" u="none" strike="noStrike">
              <a:solidFill>
                <a:schemeClr val="bg1"/>
              </a:solidFill>
              <a:latin typeface="Calibri"/>
              <a:ea typeface="Calibri"/>
              <a:cs typeface="Calibri"/>
            </a:rPr>
            <a:pPr algn="ctr"/>
            <a:t>900.00%</a:t>
          </a:fld>
          <a:endParaRPr lang="en-IN" sz="2000" b="1">
            <a:solidFill>
              <a:schemeClr val="bg1"/>
            </a:solidFill>
          </a:endParaRPr>
        </a:p>
      </xdr:txBody>
    </xdr:sp>
    <xdr:clientData/>
  </xdr:twoCellAnchor>
  <xdr:twoCellAnchor>
    <xdr:from>
      <xdr:col>19</xdr:col>
      <xdr:colOff>457200</xdr:colOff>
      <xdr:row>27</xdr:row>
      <xdr:rowOff>60960</xdr:rowOff>
    </xdr:from>
    <xdr:to>
      <xdr:col>23</xdr:col>
      <xdr:colOff>449580</xdr:colOff>
      <xdr:row>35</xdr:row>
      <xdr:rowOff>53340</xdr:rowOff>
    </xdr:to>
    <xdr:sp macro="" textlink="D139">
      <xdr:nvSpPr>
        <xdr:cNvPr id="11" name="Rectangle: Rounded Corners 10">
          <a:extLst>
            <a:ext uri="{FF2B5EF4-FFF2-40B4-BE49-F238E27FC236}">
              <a16:creationId xmlns:a16="http://schemas.microsoft.com/office/drawing/2014/main" id="{8538B903-5CF2-4B4B-A86C-5564C2686FB9}"/>
            </a:ext>
          </a:extLst>
        </xdr:cNvPr>
        <xdr:cNvSpPr/>
      </xdr:nvSpPr>
      <xdr:spPr>
        <a:xfrm>
          <a:off x="9784080" y="3558540"/>
          <a:ext cx="1943100" cy="10287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a:t>
          </a:r>
          <a:fld id="{7B2ACF6B-6E95-46C6-B58E-CD3DF404E54C}" type="TxLink">
            <a:rPr lang="en-US" sz="2000" b="1" i="0" u="none" strike="noStrike">
              <a:solidFill>
                <a:schemeClr val="bg1"/>
              </a:solidFill>
              <a:latin typeface="Calibri"/>
              <a:ea typeface="Calibri"/>
              <a:cs typeface="Calibri"/>
            </a:rPr>
            <a:t>4066.67%</a:t>
          </a:fld>
          <a:endParaRPr lang="en-IN" sz="2000" b="1">
            <a:solidFill>
              <a:schemeClr val="bg1"/>
            </a:solidFill>
          </a:endParaRPr>
        </a:p>
      </xdr:txBody>
    </xdr:sp>
    <xdr:clientData/>
  </xdr:twoCellAnchor>
  <xdr:twoCellAnchor>
    <xdr:from>
      <xdr:col>2</xdr:col>
      <xdr:colOff>0</xdr:colOff>
      <xdr:row>37</xdr:row>
      <xdr:rowOff>0</xdr:rowOff>
    </xdr:from>
    <xdr:to>
      <xdr:col>25</xdr:col>
      <xdr:colOff>205740</xdr:colOff>
      <xdr:row>57</xdr:row>
      <xdr:rowOff>96358</xdr:rowOff>
    </xdr:to>
    <xdr:graphicFrame macro="">
      <xdr:nvGraphicFramePr>
        <xdr:cNvPr id="12" name="Chart 11">
          <a:extLst>
            <a:ext uri="{FF2B5EF4-FFF2-40B4-BE49-F238E27FC236}">
              <a16:creationId xmlns:a16="http://schemas.microsoft.com/office/drawing/2014/main" id="{A11B984E-D557-48F2-BB91-52754D78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60</xdr:row>
      <xdr:rowOff>0</xdr:rowOff>
    </xdr:from>
    <xdr:to>
      <xdr:col>14</xdr:col>
      <xdr:colOff>30480</xdr:colOff>
      <xdr:row>88</xdr:row>
      <xdr:rowOff>41694</xdr:rowOff>
    </xdr:to>
    <xdr:graphicFrame macro="">
      <xdr:nvGraphicFramePr>
        <xdr:cNvPr id="13" name="Chart 12">
          <a:extLst>
            <a:ext uri="{FF2B5EF4-FFF2-40B4-BE49-F238E27FC236}">
              <a16:creationId xmlns:a16="http://schemas.microsoft.com/office/drawing/2014/main" id="{1E873C8B-7C0E-4EFE-A1AE-538526481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xdr:colOff>
      <xdr:row>60</xdr:row>
      <xdr:rowOff>0</xdr:rowOff>
    </xdr:from>
    <xdr:to>
      <xdr:col>25</xdr:col>
      <xdr:colOff>243841</xdr:colOff>
      <xdr:row>88</xdr:row>
      <xdr:rowOff>30480</xdr:rowOff>
    </xdr:to>
    <xdr:graphicFrame macro="">
      <xdr:nvGraphicFramePr>
        <xdr:cNvPr id="14" name="Chart 13">
          <a:extLst>
            <a:ext uri="{FF2B5EF4-FFF2-40B4-BE49-F238E27FC236}">
              <a16:creationId xmlns:a16="http://schemas.microsoft.com/office/drawing/2014/main" id="{A8FBC191-BFCE-4C87-8116-71C574FEB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91</xdr:row>
      <xdr:rowOff>0</xdr:rowOff>
    </xdr:from>
    <xdr:to>
      <xdr:col>13</xdr:col>
      <xdr:colOff>464820</xdr:colOff>
      <xdr:row>115</xdr:row>
      <xdr:rowOff>114300</xdr:rowOff>
    </xdr:to>
    <xdr:graphicFrame macro="">
      <xdr:nvGraphicFramePr>
        <xdr:cNvPr id="15" name="Chart 14">
          <a:extLst>
            <a:ext uri="{FF2B5EF4-FFF2-40B4-BE49-F238E27FC236}">
              <a16:creationId xmlns:a16="http://schemas.microsoft.com/office/drawing/2014/main" id="{95361047-D8F1-4C3A-A791-1FF5D413D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30481</xdr:colOff>
      <xdr:row>91</xdr:row>
      <xdr:rowOff>45721</xdr:rowOff>
    </xdr:from>
    <xdr:to>
      <xdr:col>25</xdr:col>
      <xdr:colOff>289561</xdr:colOff>
      <xdr:row>115</xdr:row>
      <xdr:rowOff>106680</xdr:rowOff>
    </xdr:to>
    <xdr:graphicFrame macro="">
      <xdr:nvGraphicFramePr>
        <xdr:cNvPr id="16" name="Chart 15">
          <a:extLst>
            <a:ext uri="{FF2B5EF4-FFF2-40B4-BE49-F238E27FC236}">
              <a16:creationId xmlns:a16="http://schemas.microsoft.com/office/drawing/2014/main" id="{4D751346-08FE-4E34-8434-0F7B334E6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434340</xdr:colOff>
      <xdr:row>27</xdr:row>
      <xdr:rowOff>114300</xdr:rowOff>
    </xdr:from>
    <xdr:to>
      <xdr:col>12</xdr:col>
      <xdr:colOff>7668</xdr:colOff>
      <xdr:row>31</xdr:row>
      <xdr:rowOff>108248</xdr:rowOff>
    </xdr:to>
    <xdr:pic>
      <xdr:nvPicPr>
        <xdr:cNvPr id="17" name="Picture 16">
          <a:extLst>
            <a:ext uri="{FF2B5EF4-FFF2-40B4-BE49-F238E27FC236}">
              <a16:creationId xmlns:a16="http://schemas.microsoft.com/office/drawing/2014/main" id="{84C3578D-8981-37BD-1080-98CD991B37C6}"/>
            </a:ext>
          </a:extLst>
        </xdr:cNvPr>
        <xdr:cNvPicPr>
          <a:picLocks noChangeAspect="1"/>
        </xdr:cNvPicPr>
      </xdr:nvPicPr>
      <xdr:blipFill>
        <a:blip xmlns:r="http://schemas.openxmlformats.org/officeDocument/2006/relationships" r:embed="rId6"/>
        <a:stretch>
          <a:fillRect/>
        </a:stretch>
      </xdr:blipFill>
      <xdr:spPr>
        <a:xfrm>
          <a:off x="5372100" y="3611880"/>
          <a:ext cx="548688" cy="512108"/>
        </a:xfrm>
        <a:prstGeom prst="rect">
          <a:avLst/>
        </a:prstGeom>
      </xdr:spPr>
    </xdr:pic>
    <xdr:clientData/>
  </xdr:twoCellAnchor>
  <xdr:twoCellAnchor editAs="oneCell">
    <xdr:from>
      <xdr:col>16</xdr:col>
      <xdr:colOff>342900</xdr:colOff>
      <xdr:row>28</xdr:row>
      <xdr:rowOff>15240</xdr:rowOff>
    </xdr:from>
    <xdr:to>
      <xdr:col>17</xdr:col>
      <xdr:colOff>403908</xdr:colOff>
      <xdr:row>32</xdr:row>
      <xdr:rowOff>9188</xdr:rowOff>
    </xdr:to>
    <xdr:pic>
      <xdr:nvPicPr>
        <xdr:cNvPr id="18" name="Picture 17">
          <a:extLst>
            <a:ext uri="{FF2B5EF4-FFF2-40B4-BE49-F238E27FC236}">
              <a16:creationId xmlns:a16="http://schemas.microsoft.com/office/drawing/2014/main" id="{4E8FAAB5-A276-4315-0737-3499CF6EAD36}"/>
            </a:ext>
          </a:extLst>
        </xdr:cNvPr>
        <xdr:cNvPicPr>
          <a:picLocks noChangeAspect="1"/>
        </xdr:cNvPicPr>
      </xdr:nvPicPr>
      <xdr:blipFill>
        <a:blip xmlns:r="http://schemas.openxmlformats.org/officeDocument/2006/relationships" r:embed="rId6"/>
        <a:stretch>
          <a:fillRect/>
        </a:stretch>
      </xdr:blipFill>
      <xdr:spPr>
        <a:xfrm>
          <a:off x="8206740" y="3642360"/>
          <a:ext cx="548688" cy="512108"/>
        </a:xfrm>
        <a:prstGeom prst="rect">
          <a:avLst/>
        </a:prstGeom>
      </xdr:spPr>
    </xdr:pic>
    <xdr:clientData/>
  </xdr:twoCellAnchor>
  <xdr:twoCellAnchor editAs="oneCell">
    <xdr:from>
      <xdr:col>22</xdr:col>
      <xdr:colOff>426720</xdr:colOff>
      <xdr:row>28</xdr:row>
      <xdr:rowOff>30480</xdr:rowOff>
    </xdr:from>
    <xdr:to>
      <xdr:col>24</xdr:col>
      <xdr:colOff>48</xdr:colOff>
      <xdr:row>32</xdr:row>
      <xdr:rowOff>24428</xdr:rowOff>
    </xdr:to>
    <xdr:pic>
      <xdr:nvPicPr>
        <xdr:cNvPr id="19" name="Picture 18">
          <a:extLst>
            <a:ext uri="{FF2B5EF4-FFF2-40B4-BE49-F238E27FC236}">
              <a16:creationId xmlns:a16="http://schemas.microsoft.com/office/drawing/2014/main" id="{C8764D99-4E01-B82D-874D-0C4D3894A47C}"/>
            </a:ext>
          </a:extLst>
        </xdr:cNvPr>
        <xdr:cNvPicPr>
          <a:picLocks noChangeAspect="1"/>
        </xdr:cNvPicPr>
      </xdr:nvPicPr>
      <xdr:blipFill>
        <a:blip xmlns:r="http://schemas.openxmlformats.org/officeDocument/2006/relationships" r:embed="rId6"/>
        <a:stretch>
          <a:fillRect/>
        </a:stretch>
      </xdr:blipFill>
      <xdr:spPr>
        <a:xfrm>
          <a:off x="11216640" y="3657600"/>
          <a:ext cx="548688" cy="512108"/>
        </a:xfrm>
        <a:prstGeom prst="rect">
          <a:avLst/>
        </a:prstGeom>
      </xdr:spPr>
    </xdr:pic>
    <xdr:clientData/>
  </xdr:twoCellAnchor>
  <xdr:twoCellAnchor editAs="oneCell">
    <xdr:from>
      <xdr:col>4</xdr:col>
      <xdr:colOff>480060</xdr:colOff>
      <xdr:row>28</xdr:row>
      <xdr:rowOff>53340</xdr:rowOff>
    </xdr:from>
    <xdr:to>
      <xdr:col>6</xdr:col>
      <xdr:colOff>53388</xdr:colOff>
      <xdr:row>32</xdr:row>
      <xdr:rowOff>47288</xdr:rowOff>
    </xdr:to>
    <xdr:pic>
      <xdr:nvPicPr>
        <xdr:cNvPr id="20" name="Picture 19">
          <a:extLst>
            <a:ext uri="{FF2B5EF4-FFF2-40B4-BE49-F238E27FC236}">
              <a16:creationId xmlns:a16="http://schemas.microsoft.com/office/drawing/2014/main" id="{5B349847-AA03-4432-A197-591E88023500}"/>
            </a:ext>
          </a:extLst>
        </xdr:cNvPr>
        <xdr:cNvPicPr>
          <a:picLocks noChangeAspect="1"/>
        </xdr:cNvPicPr>
      </xdr:nvPicPr>
      <xdr:blipFill>
        <a:blip xmlns:r="http://schemas.openxmlformats.org/officeDocument/2006/relationships" r:embed="rId6"/>
        <a:stretch>
          <a:fillRect/>
        </a:stretch>
      </xdr:blipFill>
      <xdr:spPr>
        <a:xfrm>
          <a:off x="2491740" y="3680460"/>
          <a:ext cx="548688" cy="5121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097.873140972224" createdVersion="8" refreshedVersion="8" minRefreshableVersion="3" recordCount="27" xr:uid="{A1B349C3-7EB1-4706-ABB0-B037210DDB61}">
  <cacheSource type="worksheet">
    <worksheetSource name="Table1"/>
  </cacheSource>
  <cacheFields count="12">
    <cacheField name="Year" numFmtId="0">
      <sharedItems containsSemiMixedTypes="0" containsString="0" containsNumber="1" containsInteger="1" minValue="1999" maxValue="2025" count="27">
        <n v="1999"/>
        <n v="2000"/>
        <n v="2001"/>
        <n v="2002"/>
        <n v="2003"/>
        <n v="2004"/>
        <n v="2005"/>
        <n v="2006"/>
        <n v="2007"/>
        <n v="2008"/>
        <n v="2009"/>
        <n v="2010"/>
        <n v="2011"/>
        <n v="2012"/>
        <n v="2013"/>
        <n v="2014"/>
        <n v="2015"/>
        <n v="2016"/>
        <n v="2017"/>
        <n v="2018"/>
        <n v="2019"/>
        <n v="2020"/>
        <n v="2021"/>
        <n v="2022"/>
        <n v="2023"/>
        <n v="2024"/>
        <n v="2025"/>
      </sharedItems>
    </cacheField>
    <cacheField name="Revenue ₹Cr" numFmtId="169">
      <sharedItems containsSemiMixedTypes="0" containsString="0" containsNumber="1" containsInteger="1" minValue="200" maxValue="61573"/>
    </cacheField>
    <cacheField name="Net Profit ₹Cr" numFmtId="169">
      <sharedItems containsSemiMixedTypes="0" containsString="0" containsNumber="1" containsInteger="1" minValue="5" maxValue="1216"/>
    </cacheField>
    <cacheField name="Total Assets ₹Cr" numFmtId="169">
      <sharedItems containsSemiMixedTypes="0" containsString="0" containsNumber="1" containsInteger="1" minValue="150" maxValue="15000"/>
    </cacheField>
    <cacheField name="Total Expenses ₹Cr" numFmtId="169">
      <sharedItems containsSemiMixedTypes="0" containsString="0" containsNumber="1" containsInteger="1" minValue="195" maxValue="60357"/>
    </cacheField>
    <cacheField name="Employees" numFmtId="169">
      <sharedItems containsSemiMixedTypes="0" containsString="0" containsNumber="1" containsInteger="1" minValue="120" maxValue="5000"/>
    </cacheField>
    <cacheField name="Production Capacity (MT)" numFmtId="169">
      <sharedItems containsSemiMixedTypes="0" containsString="0" containsNumber="1" containsInteger="1" minValue="50000" maxValue="2200000" count="27">
        <n v="50000"/>
        <n v="60000"/>
        <n v="70000"/>
        <n v="80000"/>
        <n v="90000"/>
        <n v="110000"/>
        <n v="140000"/>
        <n v="180000"/>
        <n v="230000"/>
        <n v="300000"/>
        <n v="380000"/>
        <n v="450000"/>
        <n v="520000"/>
        <n v="600000"/>
        <n v="720000"/>
        <n v="850000"/>
        <n v="1000000"/>
        <n v="1200000"/>
        <n v="1350000"/>
        <n v="1500000"/>
        <n v="1550000"/>
        <n v="1600000"/>
        <n v="1700000"/>
        <n v="1850000"/>
        <n v="2000000"/>
        <n v="2050000"/>
        <n v="2200000"/>
      </sharedItems>
    </cacheField>
    <cacheField name="Export Revenue ₹Cr" numFmtId="169">
      <sharedItems containsSemiMixedTypes="0" containsString="0" containsNumber="1" containsInteger="1" minValue="20" maxValue="3600"/>
    </cacheField>
    <cacheField name="Domestic Sales ₹Cr" numFmtId="169">
      <sharedItems containsSemiMixedTypes="0" containsString="0" containsNumber="1" containsInteger="1" minValue="180" maxValue="57973"/>
    </cacheField>
    <cacheField name="Market Share %" numFmtId="10">
      <sharedItems containsSemiMixedTypes="0" containsString="0" containsNumber="1" minValue="2" maxValue="20" count="27">
        <n v="2"/>
        <n v="2.2999999999999998"/>
        <n v="2.5"/>
        <n v="2.8"/>
        <n v="3.2"/>
        <n v="3.6"/>
        <n v="4"/>
        <n v="4.8"/>
        <n v="5.5"/>
        <n v="6"/>
        <n v="6.8"/>
        <n v="7.5"/>
        <n v="8"/>
        <n v="8.5"/>
        <n v="9"/>
        <n v="10"/>
        <n v="11"/>
        <n v="12"/>
        <n v="13"/>
        <n v="14"/>
        <n v="15"/>
        <n v="16"/>
        <n v="17"/>
        <n v="18"/>
        <n v="19"/>
        <n v="19.5"/>
        <n v="20"/>
      </sharedItems>
    </cacheField>
    <cacheField name="Distribution Points" numFmtId="0">
      <sharedItems containsSemiMixedTypes="0" containsString="0" containsNumber="1" containsInteger="1" minValue="2000" maxValue="70000"/>
    </cacheField>
    <cacheField name="Product Categories" numFmtId="0">
      <sharedItems containsSemiMixedTypes="0" containsString="0" containsNumber="1" containsInteger="1" minValue="2" maxValue="10" count="9">
        <n v="2"/>
        <n v="3"/>
        <n v="4"/>
        <n v="5"/>
        <n v="6"/>
        <n v="7"/>
        <n v="8"/>
        <n v="9"/>
        <n v="10"/>
      </sharedItems>
    </cacheField>
  </cacheFields>
  <extLst>
    <ext xmlns:x14="http://schemas.microsoft.com/office/spreadsheetml/2009/9/main" uri="{725AE2AE-9491-48be-B2B4-4EB974FC3084}">
      <x14:pivotCacheDefinition pivotCacheId="331981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200"/>
    <n v="5"/>
    <n v="150"/>
    <n v="195"/>
    <n v="120"/>
    <x v="0"/>
    <n v="20"/>
    <n v="180"/>
    <x v="0"/>
    <n v="2000"/>
    <x v="0"/>
  </r>
  <r>
    <x v="1"/>
    <n v="250"/>
    <n v="7"/>
    <n v="180"/>
    <n v="243"/>
    <n v="150"/>
    <x v="1"/>
    <n v="25"/>
    <n v="225"/>
    <x v="1"/>
    <n v="2500"/>
    <x v="0"/>
  </r>
  <r>
    <x v="2"/>
    <n v="310"/>
    <n v="9"/>
    <n v="220"/>
    <n v="301"/>
    <n v="180"/>
    <x v="2"/>
    <n v="30"/>
    <n v="280"/>
    <x v="2"/>
    <n v="3000"/>
    <x v="0"/>
  </r>
  <r>
    <x v="3"/>
    <n v="380"/>
    <n v="12"/>
    <n v="260"/>
    <n v="368"/>
    <n v="210"/>
    <x v="3"/>
    <n v="35"/>
    <n v="345"/>
    <x v="3"/>
    <n v="3500"/>
    <x v="0"/>
  </r>
  <r>
    <x v="4"/>
    <n v="450"/>
    <n v="15"/>
    <n v="300"/>
    <n v="435"/>
    <n v="250"/>
    <x v="4"/>
    <n v="40"/>
    <n v="410"/>
    <x v="4"/>
    <n v="4000"/>
    <x v="1"/>
  </r>
  <r>
    <x v="5"/>
    <n v="520"/>
    <n v="18"/>
    <n v="350"/>
    <n v="502"/>
    <n v="300"/>
    <x v="5"/>
    <n v="45"/>
    <n v="475"/>
    <x v="5"/>
    <n v="5000"/>
    <x v="1"/>
  </r>
  <r>
    <x v="6"/>
    <n v="650"/>
    <n v="25"/>
    <n v="420"/>
    <n v="625"/>
    <n v="350"/>
    <x v="6"/>
    <n v="55"/>
    <n v="595"/>
    <x v="6"/>
    <n v="6000"/>
    <x v="1"/>
  </r>
  <r>
    <x v="7"/>
    <n v="820"/>
    <n v="40"/>
    <n v="520"/>
    <n v="780"/>
    <n v="420"/>
    <x v="7"/>
    <n v="70"/>
    <n v="750"/>
    <x v="7"/>
    <n v="7000"/>
    <x v="1"/>
  </r>
  <r>
    <x v="8"/>
    <n v="1100"/>
    <n v="55"/>
    <n v="650"/>
    <n v="1045"/>
    <n v="500"/>
    <x v="8"/>
    <n v="90"/>
    <n v="1010"/>
    <x v="8"/>
    <n v="9000"/>
    <x v="2"/>
  </r>
  <r>
    <x v="9"/>
    <n v="1500"/>
    <n v="75"/>
    <n v="820"/>
    <n v="1425"/>
    <n v="620"/>
    <x v="9"/>
    <n v="120"/>
    <n v="1380"/>
    <x v="9"/>
    <n v="11000"/>
    <x v="2"/>
  </r>
  <r>
    <x v="10"/>
    <n v="2100"/>
    <n v="95"/>
    <n v="1000"/>
    <n v="2005"/>
    <n v="700"/>
    <x v="10"/>
    <n v="150"/>
    <n v="1950"/>
    <x v="10"/>
    <n v="13000"/>
    <x v="2"/>
  </r>
  <r>
    <x v="11"/>
    <n v="2800"/>
    <n v="120"/>
    <n v="1300"/>
    <n v="2680"/>
    <n v="820"/>
    <x v="11"/>
    <n v="200"/>
    <n v="2600"/>
    <x v="11"/>
    <n v="15000"/>
    <x v="2"/>
  </r>
  <r>
    <x v="12"/>
    <n v="3800"/>
    <n v="160"/>
    <n v="1600"/>
    <n v="3640"/>
    <n v="950"/>
    <x v="12"/>
    <n v="260"/>
    <n v="3540"/>
    <x v="12"/>
    <n v="18000"/>
    <x v="3"/>
  </r>
  <r>
    <x v="13"/>
    <n v="5200"/>
    <n v="220"/>
    <n v="2100"/>
    <n v="4980"/>
    <n v="1100"/>
    <x v="13"/>
    <n v="350"/>
    <n v="4850"/>
    <x v="13"/>
    <n v="22000"/>
    <x v="3"/>
  </r>
  <r>
    <x v="14"/>
    <n v="7500"/>
    <n v="300"/>
    <n v="2700"/>
    <n v="7200"/>
    <n v="1400"/>
    <x v="14"/>
    <n v="480"/>
    <n v="7020"/>
    <x v="14"/>
    <n v="26000"/>
    <x v="3"/>
  </r>
  <r>
    <x v="15"/>
    <n v="11000"/>
    <n v="340"/>
    <n v="3400"/>
    <n v="10660"/>
    <n v="1700"/>
    <x v="15"/>
    <n v="650"/>
    <n v="10350"/>
    <x v="15"/>
    <n v="30000"/>
    <x v="4"/>
  </r>
  <r>
    <x v="16"/>
    <n v="15000"/>
    <n v="420"/>
    <n v="4200"/>
    <n v="14580"/>
    <n v="2000"/>
    <x v="16"/>
    <n v="850"/>
    <n v="14150"/>
    <x v="16"/>
    <n v="35000"/>
    <x v="4"/>
  </r>
  <r>
    <x v="17"/>
    <n v="21000"/>
    <n v="480"/>
    <n v="5200"/>
    <n v="20520"/>
    <n v="2400"/>
    <x v="17"/>
    <n v="1100"/>
    <n v="19900"/>
    <x v="17"/>
    <n v="40000"/>
    <x v="4"/>
  </r>
  <r>
    <x v="18"/>
    <n v="26000"/>
    <n v="520"/>
    <n v="6500"/>
    <n v="25480"/>
    <n v="2800"/>
    <x v="18"/>
    <n v="1300"/>
    <n v="24700"/>
    <x v="18"/>
    <n v="45000"/>
    <x v="5"/>
  </r>
  <r>
    <x v="19"/>
    <n v="30000"/>
    <n v="600"/>
    <n v="7800"/>
    <n v="29400"/>
    <n v="3200"/>
    <x v="19"/>
    <n v="1500"/>
    <n v="28500"/>
    <x v="19"/>
    <n v="50000"/>
    <x v="5"/>
  </r>
  <r>
    <x v="20"/>
    <n v="29000"/>
    <n v="380"/>
    <n v="8500"/>
    <n v="28620"/>
    <n v="3500"/>
    <x v="20"/>
    <n v="1600"/>
    <n v="27400"/>
    <x v="20"/>
    <n v="52000"/>
    <x v="5"/>
  </r>
  <r>
    <x v="21"/>
    <n v="32800"/>
    <n v="460"/>
    <n v="9300"/>
    <n v="32340"/>
    <n v="3800"/>
    <x v="21"/>
    <n v="1800"/>
    <n v="31000"/>
    <x v="21"/>
    <n v="55000"/>
    <x v="6"/>
  </r>
  <r>
    <x v="22"/>
    <n v="37090"/>
    <n v="770"/>
    <n v="10500"/>
    <n v="36320"/>
    <n v="4000"/>
    <x v="22"/>
    <n v="2000"/>
    <n v="35090"/>
    <x v="22"/>
    <n v="58000"/>
    <x v="6"/>
  </r>
  <r>
    <x v="23"/>
    <n v="52361"/>
    <n v="807"/>
    <n v="12000"/>
    <n v="51554"/>
    <n v="4200"/>
    <x v="23"/>
    <n v="2600"/>
    <n v="49761"/>
    <x v="23"/>
    <n v="60000"/>
    <x v="6"/>
  </r>
  <r>
    <x v="24"/>
    <n v="58185"/>
    <n v="582"/>
    <n v="13500"/>
    <n v="57603"/>
    <n v="4500"/>
    <x v="24"/>
    <n v="3000"/>
    <n v="55185"/>
    <x v="24"/>
    <n v="65000"/>
    <x v="7"/>
  </r>
  <r>
    <x v="25"/>
    <n v="51262"/>
    <n v="148"/>
    <n v="14000"/>
    <n v="51114"/>
    <n v="4700"/>
    <x v="25"/>
    <n v="3200"/>
    <n v="48062"/>
    <x v="25"/>
    <n v="68000"/>
    <x v="7"/>
  </r>
  <r>
    <x v="26"/>
    <n v="61573"/>
    <n v="1216"/>
    <n v="15000"/>
    <n v="60357"/>
    <n v="5000"/>
    <x v="26"/>
    <n v="3600"/>
    <n v="57973"/>
    <x v="26"/>
    <n v="700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D4D5BC-73E2-450A-B397-8E324416C93A}"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8:B216"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69" showAll="0"/>
    <pivotField numFmtId="169" showAll="0"/>
    <pivotField dataField="1" numFmtId="169" showAll="0"/>
    <pivotField numFmtId="169"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Employees" fld="5" baseField="0" baseItem="0"/>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4ED394-8A10-4AB2-9B19-202B88705BF8}"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8:B186"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69" showAll="0"/>
    <pivotField numFmtId="169" showAll="0"/>
    <pivotField numFmtId="169" showAll="0"/>
    <pivotField numFmtId="169"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dataField="1"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Max of Product Categories" fld="11"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7C3253-1C9E-4003-91F4-C64E20A1E3A3}"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7:B155"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69" showAll="0"/>
    <pivotField numFmtId="169" showAll="0"/>
    <pivotField numFmtId="169" showAll="0"/>
    <pivotField numFmtId="169"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Max of Distribution Points" fld="10" subtotal="max"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B0D2A1-A663-4B93-AE7B-D4120CF66DE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6:B124"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69" showAll="0"/>
    <pivotField numFmtId="169" showAll="0"/>
    <pivotField numFmtId="169" showAll="0"/>
    <pivotField numFmtId="169"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dataField="1"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Market Share %" fld="9" subtotal="average" baseField="0" baseItem="0" numFmtId="1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E4743A-168A-4634-8F23-F123B29F16C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5:C93" firstHeaderRow="0"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69" showAll="0"/>
    <pivotField numFmtId="169" showAll="0"/>
    <pivotField numFmtId="169" showAll="0"/>
    <pivotField numFmtId="169"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numFmtId="169" showAll="0"/>
    <pivotField dataField="1" numFmtId="169"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Domestic Sales ₹Cr" fld="8" baseField="0" baseItem="0" numFmtId="169"/>
    <dataField name="Sum of Export Revenue ₹Cr" fld="7" baseField="0" baseItem="0" numFmtId="169"/>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608F91-3120-4079-BB14-2AE1FCB13A2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C62" firstHeaderRow="0"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dataField="1" numFmtId="169" showAll="0"/>
    <pivotField numFmtId="169" showAll="0"/>
    <pivotField dataField="1" numFmtId="169" showAll="0"/>
    <pivotField numFmtId="169" showAll="0"/>
    <pivotField numFmtId="169"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Net Profit ₹Cr" fld="2" baseField="0" baseItem="0" numFmtId="169"/>
    <dataField name="Sum of Total Expenses ₹Cr" fld="4" baseField="0" baseItem="0" numFmtId="169"/>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01F58-7857-459B-AC4C-656EBF643CB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1"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numFmtId="169" showAll="0"/>
    <pivotField numFmtId="169" showAll="0"/>
    <pivotField numFmtId="169" showAll="0"/>
    <pivotField numFmtId="169" showAll="0"/>
    <pivotField numFmtId="169" showAll="0"/>
    <pivotField numFmtId="169"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9" showAll="0"/>
    <pivotField numFmtId="169"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Revenue ₹Cr" fld="1" baseField="0" baseItem="0" numFmtId="169"/>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hare" xr10:uid="{42176076-5114-4F2E-97BA-006EB5F6C977}" sourceName="Market Share %">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331981295">
      <items count="27">
        <i x="0" s="1"/>
        <i x="1" s="1"/>
        <i x="2" s="1"/>
        <i x="3" s="1"/>
        <i x="4" s="1"/>
        <i x="5" s="1"/>
        <i x="6" s="1"/>
        <i x="7" s="1"/>
        <i x="8" s="1"/>
        <i x="9" s="1"/>
        <i x="10" s="1"/>
        <i x="11" s="1"/>
        <i x="12" s="1"/>
        <i x="13" s="1"/>
        <i x="14" s="1"/>
        <i x="15" s="1"/>
        <i x="16" s="1"/>
        <i x="17" s="1"/>
        <i x="18" s="1"/>
        <i x="19" s="1"/>
        <i x="20" s="1"/>
        <i x="21" s="1"/>
        <i x="22" s="1"/>
        <i x="23" s="1"/>
        <i x="24" s="1"/>
        <i x="25" s="1"/>
        <i x="2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8973FD-227A-45CE-963D-69A3CE909EAF}" sourceName="Year">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331981295">
      <items count="27">
        <i x="0" s="1"/>
        <i x="1" s="1"/>
        <i x="2" s="1"/>
        <i x="3" s="1"/>
        <i x="4" s="1"/>
        <i x="5" s="1"/>
        <i x="6" s="1"/>
        <i x="7" s="1"/>
        <i x="8" s="1"/>
        <i x="9" s="1"/>
        <i x="10" s="1"/>
        <i x="11" s="1"/>
        <i x="12" s="1"/>
        <i x="13" s="1"/>
        <i x="14" s="1"/>
        <i x="15" s="1"/>
        <i x="16" s="1"/>
        <i x="17" s="1"/>
        <i x="18" s="1"/>
        <i x="19" s="1"/>
        <i x="20" s="1"/>
        <i x="21" s="1"/>
        <i x="22" s="1"/>
        <i x="23" s="1"/>
        <i x="24" s="1"/>
        <i x="25" s="1"/>
        <i x="2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ies" xr10:uid="{9AE0B596-6720-47A1-A022-561B7787B147}" sourceName="Product Categories">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331981295">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Share %" xr10:uid="{630EAEDA-E467-437A-8ABF-366E2C0E6CFC}" cache="Slicer_Market_Share" caption="Market Share %" rowHeight="1714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ECF5E1-136D-47F0-8397-AA2D0086FAB2}" cache="Slicer_Year" caption="Year" startItem="20" rowHeight="171450"/>
  <slicer name="Product Categories" xr10:uid="{96EE73FC-523E-4384-B848-B589DFAEF031}" cache="Slicer_Product_Categories" caption="Product Categories" rowHeight="171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7F2D6D-7E8C-44CF-89E4-2E09FC580A3A}" name="Table1" displayName="Table1" ref="A1:L28" totalsRowShown="0" headerRowDxfId="14" dataDxfId="13">
  <autoFilter ref="A1:L28" xr:uid="{987F2D6D-7E8C-44CF-89E4-2E09FC580A3A}"/>
  <tableColumns count="12">
    <tableColumn id="1" xr3:uid="{5A51B38B-1F34-4B00-BB3B-53320D9BB9B4}" name="Year" dataDxfId="12"/>
    <tableColumn id="2" xr3:uid="{CC23E5DA-29EF-466C-94A2-23332801AA60}" name="Revenue ₹Cr" dataDxfId="11"/>
    <tableColumn id="3" xr3:uid="{978E80CA-8DC1-4323-AEEE-A4CA105B2C94}" name="Net Profit ₹Cr" dataDxfId="10"/>
    <tableColumn id="4" xr3:uid="{C7AFE4CF-EA8D-47C2-91EE-C6A04638DBC7}" name="Total Assets ₹Cr" dataDxfId="9"/>
    <tableColumn id="5" xr3:uid="{A49B216D-2CFE-44FF-BFA8-EF50844E4EC9}" name="Total Expenses ₹Cr" dataDxfId="4"/>
    <tableColumn id="6" xr3:uid="{C67C2E22-4848-4A05-9029-BEC9568678C5}" name="Employees" dataDxfId="2"/>
    <tableColumn id="7" xr3:uid="{F90EC941-479C-4027-A7CF-E74A42B2E2FD}" name="Production Capacity (MT)" dataDxfId="3"/>
    <tableColumn id="8" xr3:uid="{4A371859-B089-4B35-80E7-E7F30F59DAD8}" name="Export Revenue ₹Cr" dataDxfId="8"/>
    <tableColumn id="9" xr3:uid="{DB80D826-9DC0-4E16-B140-5EF18F3C3468}" name="Domestic Sales ₹Cr" dataDxfId="6"/>
    <tableColumn id="10" xr3:uid="{5161B50F-224A-4E83-8582-E9426C5FB0C3}" name="Market Share %" dataDxfId="7"/>
    <tableColumn id="11" xr3:uid="{70E59C8E-0960-40E3-BA55-6FF9BF8A531E}" name="Distribution Points" dataDxfId="5"/>
    <tableColumn id="12" xr3:uid="{D744EDDD-A07E-45E9-8160-6C97A47405AD}" name="Product Categories" dataDxfId="1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1003-10CF-4DD0-B0BC-939FD42CFC2A}">
  <dimension ref="A1:L28"/>
  <sheetViews>
    <sheetView topLeftCell="A2" workbookViewId="0">
      <selection activeCell="M13" sqref="M13"/>
    </sheetView>
  </sheetViews>
  <sheetFormatPr defaultRowHeight="10.199999999999999" x14ac:dyDescent="0.2"/>
  <cols>
    <col min="2" max="2" width="17.7109375" bestFit="1" customWidth="1"/>
    <col min="3" max="3" width="15.85546875" bestFit="1" customWidth="1"/>
    <col min="4" max="4" width="20" bestFit="1" customWidth="1"/>
    <col min="5" max="5" width="17.7109375" customWidth="1"/>
    <col min="6" max="6" width="16" bestFit="1" customWidth="1"/>
    <col min="7" max="7" width="22.5703125" customWidth="1"/>
    <col min="8" max="8" width="18.7109375" customWidth="1"/>
    <col min="9" max="9" width="17.85546875" customWidth="1"/>
    <col min="10" max="10" width="15.42578125" customWidth="1"/>
    <col min="11" max="11" width="17.7109375" customWidth="1"/>
    <col min="12" max="12" width="18" customWidth="1"/>
  </cols>
  <sheetData>
    <row r="1" spans="1:12" ht="54" x14ac:dyDescent="0.2">
      <c r="A1" s="2" t="s">
        <v>0</v>
      </c>
      <c r="B1" s="2" t="s">
        <v>1</v>
      </c>
      <c r="C1" s="2" t="s">
        <v>2</v>
      </c>
      <c r="D1" s="2" t="s">
        <v>3</v>
      </c>
      <c r="E1" s="2" t="s">
        <v>4</v>
      </c>
      <c r="F1" s="2" t="s">
        <v>5</v>
      </c>
      <c r="G1" s="2" t="s">
        <v>6</v>
      </c>
      <c r="H1" s="2" t="s">
        <v>7</v>
      </c>
      <c r="I1" s="2" t="s">
        <v>8</v>
      </c>
      <c r="J1" s="2" t="s">
        <v>9</v>
      </c>
      <c r="K1" s="2" t="s">
        <v>10</v>
      </c>
      <c r="L1" s="2" t="s">
        <v>11</v>
      </c>
    </row>
    <row r="2" spans="1:12" ht="18" x14ac:dyDescent="0.2">
      <c r="A2" s="2">
        <v>1999</v>
      </c>
      <c r="B2" s="3">
        <v>200</v>
      </c>
      <c r="C2" s="3">
        <v>5</v>
      </c>
      <c r="D2" s="3">
        <v>150</v>
      </c>
      <c r="E2" s="3">
        <v>195</v>
      </c>
      <c r="F2" s="8">
        <v>120</v>
      </c>
      <c r="G2" s="3">
        <v>50000</v>
      </c>
      <c r="H2" s="3">
        <v>20</v>
      </c>
      <c r="I2" s="3">
        <v>180</v>
      </c>
      <c r="J2" s="4">
        <v>2</v>
      </c>
      <c r="K2" s="2">
        <v>2000</v>
      </c>
      <c r="L2" s="2">
        <v>2</v>
      </c>
    </row>
    <row r="3" spans="1:12" ht="18" x14ac:dyDescent="0.2">
      <c r="A3" s="2">
        <v>2000</v>
      </c>
      <c r="B3" s="3">
        <v>250</v>
      </c>
      <c r="C3" s="3">
        <v>7</v>
      </c>
      <c r="D3" s="3">
        <v>180</v>
      </c>
      <c r="E3" s="3">
        <v>243</v>
      </c>
      <c r="F3" s="8">
        <v>150</v>
      </c>
      <c r="G3" s="3">
        <v>60000</v>
      </c>
      <c r="H3" s="3">
        <v>25</v>
      </c>
      <c r="I3" s="3">
        <v>225</v>
      </c>
      <c r="J3" s="4">
        <v>2.2999999999999998</v>
      </c>
      <c r="K3" s="2">
        <v>2500</v>
      </c>
      <c r="L3" s="2">
        <v>2</v>
      </c>
    </row>
    <row r="4" spans="1:12" ht="18" x14ac:dyDescent="0.2">
      <c r="A4" s="2">
        <v>2001</v>
      </c>
      <c r="B4" s="3">
        <v>310</v>
      </c>
      <c r="C4" s="3">
        <v>9</v>
      </c>
      <c r="D4" s="3">
        <v>220</v>
      </c>
      <c r="E4" s="3">
        <v>301</v>
      </c>
      <c r="F4" s="8">
        <v>180</v>
      </c>
      <c r="G4" s="3">
        <v>70000</v>
      </c>
      <c r="H4" s="3">
        <v>30</v>
      </c>
      <c r="I4" s="3">
        <v>280</v>
      </c>
      <c r="J4" s="4">
        <v>2.5</v>
      </c>
      <c r="K4" s="2">
        <v>3000</v>
      </c>
      <c r="L4" s="2">
        <v>2</v>
      </c>
    </row>
    <row r="5" spans="1:12" ht="18" x14ac:dyDescent="0.2">
      <c r="A5" s="2">
        <v>2002</v>
      </c>
      <c r="B5" s="3">
        <v>380</v>
      </c>
      <c r="C5" s="3">
        <v>12</v>
      </c>
      <c r="D5" s="3">
        <v>260</v>
      </c>
      <c r="E5" s="3">
        <v>368</v>
      </c>
      <c r="F5" s="8">
        <v>210</v>
      </c>
      <c r="G5" s="3">
        <v>80000</v>
      </c>
      <c r="H5" s="3">
        <v>35</v>
      </c>
      <c r="I5" s="3">
        <v>345</v>
      </c>
      <c r="J5" s="4">
        <v>2.8</v>
      </c>
      <c r="K5" s="2">
        <v>3500</v>
      </c>
      <c r="L5" s="2">
        <v>2</v>
      </c>
    </row>
    <row r="6" spans="1:12" ht="18" x14ac:dyDescent="0.2">
      <c r="A6" s="2">
        <v>2003</v>
      </c>
      <c r="B6" s="3">
        <v>450</v>
      </c>
      <c r="C6" s="3">
        <v>15</v>
      </c>
      <c r="D6" s="3">
        <v>300</v>
      </c>
      <c r="E6" s="3">
        <v>435</v>
      </c>
      <c r="F6" s="8">
        <v>250</v>
      </c>
      <c r="G6" s="3">
        <v>90000</v>
      </c>
      <c r="H6" s="3">
        <v>40</v>
      </c>
      <c r="I6" s="3">
        <v>410</v>
      </c>
      <c r="J6" s="4">
        <v>3.2</v>
      </c>
      <c r="K6" s="2">
        <v>4000</v>
      </c>
      <c r="L6" s="2">
        <v>3</v>
      </c>
    </row>
    <row r="7" spans="1:12" ht="18" x14ac:dyDescent="0.2">
      <c r="A7" s="2">
        <v>2004</v>
      </c>
      <c r="B7" s="3">
        <v>520</v>
      </c>
      <c r="C7" s="3">
        <v>18</v>
      </c>
      <c r="D7" s="3">
        <v>350</v>
      </c>
      <c r="E7" s="3">
        <v>502</v>
      </c>
      <c r="F7" s="8">
        <v>300</v>
      </c>
      <c r="G7" s="3">
        <v>110000</v>
      </c>
      <c r="H7" s="3">
        <v>45</v>
      </c>
      <c r="I7" s="3">
        <v>475</v>
      </c>
      <c r="J7" s="4">
        <v>3.6</v>
      </c>
      <c r="K7" s="2">
        <v>5000</v>
      </c>
      <c r="L7" s="2">
        <v>3</v>
      </c>
    </row>
    <row r="8" spans="1:12" ht="18" x14ac:dyDescent="0.2">
      <c r="A8" s="2">
        <v>2005</v>
      </c>
      <c r="B8" s="3">
        <v>650</v>
      </c>
      <c r="C8" s="3">
        <v>25</v>
      </c>
      <c r="D8" s="3">
        <v>420</v>
      </c>
      <c r="E8" s="3">
        <v>625</v>
      </c>
      <c r="F8" s="8">
        <v>350</v>
      </c>
      <c r="G8" s="3">
        <v>140000</v>
      </c>
      <c r="H8" s="3">
        <v>55</v>
      </c>
      <c r="I8" s="3">
        <v>595</v>
      </c>
      <c r="J8" s="4">
        <v>4</v>
      </c>
      <c r="K8" s="2">
        <v>6000</v>
      </c>
      <c r="L8" s="2">
        <v>3</v>
      </c>
    </row>
    <row r="9" spans="1:12" ht="18" x14ac:dyDescent="0.2">
      <c r="A9" s="2">
        <v>2006</v>
      </c>
      <c r="B9" s="3">
        <v>820</v>
      </c>
      <c r="C9" s="3">
        <v>40</v>
      </c>
      <c r="D9" s="3">
        <v>520</v>
      </c>
      <c r="E9" s="3">
        <v>780</v>
      </c>
      <c r="F9" s="8">
        <v>420</v>
      </c>
      <c r="G9" s="3">
        <v>180000</v>
      </c>
      <c r="H9" s="3">
        <v>70</v>
      </c>
      <c r="I9" s="3">
        <v>750</v>
      </c>
      <c r="J9" s="4">
        <v>4.8</v>
      </c>
      <c r="K9" s="2">
        <v>7000</v>
      </c>
      <c r="L9" s="2">
        <v>3</v>
      </c>
    </row>
    <row r="10" spans="1:12" ht="18" x14ac:dyDescent="0.2">
      <c r="A10" s="2">
        <v>2007</v>
      </c>
      <c r="B10" s="3">
        <v>1100</v>
      </c>
      <c r="C10" s="3">
        <v>55</v>
      </c>
      <c r="D10" s="3">
        <v>650</v>
      </c>
      <c r="E10" s="3">
        <v>1045</v>
      </c>
      <c r="F10" s="8">
        <v>500</v>
      </c>
      <c r="G10" s="3">
        <v>230000</v>
      </c>
      <c r="H10" s="3">
        <v>90</v>
      </c>
      <c r="I10" s="3">
        <v>1010</v>
      </c>
      <c r="J10" s="4">
        <v>5.5</v>
      </c>
      <c r="K10" s="2">
        <v>9000</v>
      </c>
      <c r="L10" s="2">
        <v>4</v>
      </c>
    </row>
    <row r="11" spans="1:12" ht="18" x14ac:dyDescent="0.2">
      <c r="A11" s="2">
        <v>2008</v>
      </c>
      <c r="B11" s="3">
        <v>1500</v>
      </c>
      <c r="C11" s="3">
        <v>75</v>
      </c>
      <c r="D11" s="3">
        <v>820</v>
      </c>
      <c r="E11" s="3">
        <v>1425</v>
      </c>
      <c r="F11" s="8">
        <v>620</v>
      </c>
      <c r="G11" s="3">
        <v>300000</v>
      </c>
      <c r="H11" s="3">
        <v>120</v>
      </c>
      <c r="I11" s="3">
        <v>1380</v>
      </c>
      <c r="J11" s="4">
        <v>6</v>
      </c>
      <c r="K11" s="2">
        <v>11000</v>
      </c>
      <c r="L11" s="2">
        <v>4</v>
      </c>
    </row>
    <row r="12" spans="1:12" ht="18" x14ac:dyDescent="0.2">
      <c r="A12" s="2">
        <v>2009</v>
      </c>
      <c r="B12" s="3">
        <v>2100</v>
      </c>
      <c r="C12" s="3">
        <v>95</v>
      </c>
      <c r="D12" s="3">
        <v>1000</v>
      </c>
      <c r="E12" s="3">
        <v>2005</v>
      </c>
      <c r="F12" s="8">
        <v>700</v>
      </c>
      <c r="G12" s="3">
        <v>380000</v>
      </c>
      <c r="H12" s="3">
        <v>150</v>
      </c>
      <c r="I12" s="3">
        <v>1950</v>
      </c>
      <c r="J12" s="4">
        <v>6.8</v>
      </c>
      <c r="K12" s="2">
        <v>13000</v>
      </c>
      <c r="L12" s="2">
        <v>4</v>
      </c>
    </row>
    <row r="13" spans="1:12" ht="18" x14ac:dyDescent="0.2">
      <c r="A13" s="2">
        <v>2010</v>
      </c>
      <c r="B13" s="3">
        <v>2800</v>
      </c>
      <c r="C13" s="3">
        <v>120</v>
      </c>
      <c r="D13" s="3">
        <v>1300</v>
      </c>
      <c r="E13" s="3">
        <v>2680</v>
      </c>
      <c r="F13" s="8">
        <v>820</v>
      </c>
      <c r="G13" s="3">
        <v>450000</v>
      </c>
      <c r="H13" s="3">
        <v>200</v>
      </c>
      <c r="I13" s="3">
        <v>2600</v>
      </c>
      <c r="J13" s="4">
        <v>7.5</v>
      </c>
      <c r="K13" s="2">
        <v>15000</v>
      </c>
      <c r="L13" s="2">
        <v>4</v>
      </c>
    </row>
    <row r="14" spans="1:12" ht="18" x14ac:dyDescent="0.2">
      <c r="A14" s="2">
        <v>2011</v>
      </c>
      <c r="B14" s="3">
        <v>3800</v>
      </c>
      <c r="C14" s="3">
        <v>160</v>
      </c>
      <c r="D14" s="3">
        <v>1600</v>
      </c>
      <c r="E14" s="3">
        <v>3640</v>
      </c>
      <c r="F14" s="8">
        <v>950</v>
      </c>
      <c r="G14" s="3">
        <v>520000</v>
      </c>
      <c r="H14" s="3">
        <v>260</v>
      </c>
      <c r="I14" s="3">
        <v>3540</v>
      </c>
      <c r="J14" s="4">
        <v>8</v>
      </c>
      <c r="K14" s="2">
        <v>18000</v>
      </c>
      <c r="L14" s="2">
        <v>5</v>
      </c>
    </row>
    <row r="15" spans="1:12" ht="18" x14ac:dyDescent="0.2">
      <c r="A15" s="2">
        <v>2012</v>
      </c>
      <c r="B15" s="3">
        <v>5200</v>
      </c>
      <c r="C15" s="3">
        <v>220</v>
      </c>
      <c r="D15" s="3">
        <v>2100</v>
      </c>
      <c r="E15" s="3">
        <v>4980</v>
      </c>
      <c r="F15" s="8">
        <v>1100</v>
      </c>
      <c r="G15" s="3">
        <v>600000</v>
      </c>
      <c r="H15" s="3">
        <v>350</v>
      </c>
      <c r="I15" s="3">
        <v>4850</v>
      </c>
      <c r="J15" s="4">
        <v>8.5</v>
      </c>
      <c r="K15" s="2">
        <v>22000</v>
      </c>
      <c r="L15" s="2">
        <v>5</v>
      </c>
    </row>
    <row r="16" spans="1:12" ht="18" x14ac:dyDescent="0.2">
      <c r="A16" s="2">
        <v>2013</v>
      </c>
      <c r="B16" s="3">
        <v>7500</v>
      </c>
      <c r="C16" s="3">
        <v>300</v>
      </c>
      <c r="D16" s="3">
        <v>2700</v>
      </c>
      <c r="E16" s="3">
        <v>7200</v>
      </c>
      <c r="F16" s="8">
        <v>1400</v>
      </c>
      <c r="G16" s="3">
        <v>720000</v>
      </c>
      <c r="H16" s="3">
        <v>480</v>
      </c>
      <c r="I16" s="3">
        <v>7020</v>
      </c>
      <c r="J16" s="4">
        <v>9</v>
      </c>
      <c r="K16" s="2">
        <v>26000</v>
      </c>
      <c r="L16" s="2">
        <v>5</v>
      </c>
    </row>
    <row r="17" spans="1:12" ht="18" x14ac:dyDescent="0.2">
      <c r="A17" s="2">
        <v>2014</v>
      </c>
      <c r="B17" s="3">
        <v>11000</v>
      </c>
      <c r="C17" s="3">
        <v>340</v>
      </c>
      <c r="D17" s="3">
        <v>3400</v>
      </c>
      <c r="E17" s="3">
        <v>10660</v>
      </c>
      <c r="F17" s="8">
        <v>1700</v>
      </c>
      <c r="G17" s="3">
        <v>850000</v>
      </c>
      <c r="H17" s="3">
        <v>650</v>
      </c>
      <c r="I17" s="3">
        <v>10350</v>
      </c>
      <c r="J17" s="4">
        <v>10</v>
      </c>
      <c r="K17" s="2">
        <v>30000</v>
      </c>
      <c r="L17" s="2">
        <v>6</v>
      </c>
    </row>
    <row r="18" spans="1:12" ht="18" x14ac:dyDescent="0.2">
      <c r="A18" s="2">
        <v>2015</v>
      </c>
      <c r="B18" s="3">
        <v>15000</v>
      </c>
      <c r="C18" s="3">
        <v>420</v>
      </c>
      <c r="D18" s="3">
        <v>4200</v>
      </c>
      <c r="E18" s="3">
        <v>14580</v>
      </c>
      <c r="F18" s="8">
        <v>2000</v>
      </c>
      <c r="G18" s="3">
        <v>1000000</v>
      </c>
      <c r="H18" s="3">
        <v>850</v>
      </c>
      <c r="I18" s="3">
        <v>14150</v>
      </c>
      <c r="J18" s="4">
        <v>11</v>
      </c>
      <c r="K18" s="2">
        <v>35000</v>
      </c>
      <c r="L18" s="2">
        <v>6</v>
      </c>
    </row>
    <row r="19" spans="1:12" ht="18" x14ac:dyDescent="0.2">
      <c r="A19" s="2">
        <v>2016</v>
      </c>
      <c r="B19" s="3">
        <v>21000</v>
      </c>
      <c r="C19" s="3">
        <v>480</v>
      </c>
      <c r="D19" s="3">
        <v>5200</v>
      </c>
      <c r="E19" s="3">
        <v>20520</v>
      </c>
      <c r="F19" s="8">
        <v>2400</v>
      </c>
      <c r="G19" s="3">
        <v>1200000</v>
      </c>
      <c r="H19" s="3">
        <v>1100</v>
      </c>
      <c r="I19" s="3">
        <v>19900</v>
      </c>
      <c r="J19" s="4">
        <v>12</v>
      </c>
      <c r="K19" s="2">
        <v>40000</v>
      </c>
      <c r="L19" s="2">
        <v>6</v>
      </c>
    </row>
    <row r="20" spans="1:12" ht="18" x14ac:dyDescent="0.2">
      <c r="A20" s="2">
        <v>2017</v>
      </c>
      <c r="B20" s="3">
        <v>26000</v>
      </c>
      <c r="C20" s="3">
        <v>520</v>
      </c>
      <c r="D20" s="3">
        <v>6500</v>
      </c>
      <c r="E20" s="3">
        <v>25480</v>
      </c>
      <c r="F20" s="8">
        <v>2800</v>
      </c>
      <c r="G20" s="3">
        <v>1350000</v>
      </c>
      <c r="H20" s="3">
        <v>1300</v>
      </c>
      <c r="I20" s="3">
        <v>24700</v>
      </c>
      <c r="J20" s="4">
        <v>13</v>
      </c>
      <c r="K20" s="2">
        <v>45000</v>
      </c>
      <c r="L20" s="2">
        <v>7</v>
      </c>
    </row>
    <row r="21" spans="1:12" ht="18" x14ac:dyDescent="0.2">
      <c r="A21" s="2">
        <v>2018</v>
      </c>
      <c r="B21" s="3">
        <v>30000</v>
      </c>
      <c r="C21" s="3">
        <v>600</v>
      </c>
      <c r="D21" s="3">
        <v>7800</v>
      </c>
      <c r="E21" s="3">
        <v>29400</v>
      </c>
      <c r="F21" s="8">
        <v>3200</v>
      </c>
      <c r="G21" s="3">
        <v>1500000</v>
      </c>
      <c r="H21" s="3">
        <v>1500</v>
      </c>
      <c r="I21" s="3">
        <v>28500</v>
      </c>
      <c r="J21" s="4">
        <v>14</v>
      </c>
      <c r="K21" s="2">
        <v>50000</v>
      </c>
      <c r="L21" s="2">
        <v>7</v>
      </c>
    </row>
    <row r="22" spans="1:12" ht="18" x14ac:dyDescent="0.2">
      <c r="A22" s="2">
        <v>2019</v>
      </c>
      <c r="B22" s="3">
        <v>29000</v>
      </c>
      <c r="C22" s="3">
        <v>380</v>
      </c>
      <c r="D22" s="3">
        <v>8500</v>
      </c>
      <c r="E22" s="3">
        <v>28620</v>
      </c>
      <c r="F22" s="8">
        <v>3500</v>
      </c>
      <c r="G22" s="3">
        <v>1550000</v>
      </c>
      <c r="H22" s="3">
        <v>1600</v>
      </c>
      <c r="I22" s="3">
        <v>27400</v>
      </c>
      <c r="J22" s="4">
        <v>15</v>
      </c>
      <c r="K22" s="2">
        <v>52000</v>
      </c>
      <c r="L22" s="2">
        <v>7</v>
      </c>
    </row>
    <row r="23" spans="1:12" ht="18" x14ac:dyDescent="0.2">
      <c r="A23" s="2">
        <v>2020</v>
      </c>
      <c r="B23" s="3">
        <v>32800</v>
      </c>
      <c r="C23" s="3">
        <v>460</v>
      </c>
      <c r="D23" s="3">
        <v>9300</v>
      </c>
      <c r="E23" s="3">
        <v>32340</v>
      </c>
      <c r="F23" s="8">
        <v>3800</v>
      </c>
      <c r="G23" s="3">
        <v>1600000</v>
      </c>
      <c r="H23" s="3">
        <v>1800</v>
      </c>
      <c r="I23" s="3">
        <v>31000</v>
      </c>
      <c r="J23" s="4">
        <v>16</v>
      </c>
      <c r="K23" s="2">
        <v>55000</v>
      </c>
      <c r="L23" s="2">
        <v>8</v>
      </c>
    </row>
    <row r="24" spans="1:12" ht="18" x14ac:dyDescent="0.2">
      <c r="A24" s="2">
        <v>2021</v>
      </c>
      <c r="B24" s="3">
        <v>37090</v>
      </c>
      <c r="C24" s="3">
        <v>770</v>
      </c>
      <c r="D24" s="3">
        <v>10500</v>
      </c>
      <c r="E24" s="3">
        <v>36320</v>
      </c>
      <c r="F24" s="8">
        <v>4000</v>
      </c>
      <c r="G24" s="3">
        <v>1700000</v>
      </c>
      <c r="H24" s="3">
        <v>2000</v>
      </c>
      <c r="I24" s="3">
        <v>35090</v>
      </c>
      <c r="J24" s="4">
        <v>17</v>
      </c>
      <c r="K24" s="2">
        <v>58000</v>
      </c>
      <c r="L24" s="2">
        <v>8</v>
      </c>
    </row>
    <row r="25" spans="1:12" ht="18" x14ac:dyDescent="0.2">
      <c r="A25" s="2">
        <v>2022</v>
      </c>
      <c r="B25" s="3">
        <v>52361</v>
      </c>
      <c r="C25" s="3">
        <v>807</v>
      </c>
      <c r="D25" s="3">
        <v>12000</v>
      </c>
      <c r="E25" s="3">
        <v>51554</v>
      </c>
      <c r="F25" s="8">
        <v>4200</v>
      </c>
      <c r="G25" s="3">
        <v>1850000</v>
      </c>
      <c r="H25" s="3">
        <v>2600</v>
      </c>
      <c r="I25" s="3">
        <v>49761</v>
      </c>
      <c r="J25" s="4">
        <v>18</v>
      </c>
      <c r="K25" s="2">
        <v>60000</v>
      </c>
      <c r="L25" s="2">
        <v>8</v>
      </c>
    </row>
    <row r="26" spans="1:12" ht="18" x14ac:dyDescent="0.2">
      <c r="A26" s="2">
        <v>2023</v>
      </c>
      <c r="B26" s="3">
        <v>58185</v>
      </c>
      <c r="C26" s="3">
        <v>582</v>
      </c>
      <c r="D26" s="3">
        <v>13500</v>
      </c>
      <c r="E26" s="3">
        <v>57603</v>
      </c>
      <c r="F26" s="8">
        <v>4500</v>
      </c>
      <c r="G26" s="3">
        <v>2000000</v>
      </c>
      <c r="H26" s="3">
        <v>3000</v>
      </c>
      <c r="I26" s="3">
        <v>55185</v>
      </c>
      <c r="J26" s="4">
        <v>19</v>
      </c>
      <c r="K26" s="2">
        <v>65000</v>
      </c>
      <c r="L26" s="2">
        <v>9</v>
      </c>
    </row>
    <row r="27" spans="1:12" ht="18" x14ac:dyDescent="0.2">
      <c r="A27" s="2">
        <v>2024</v>
      </c>
      <c r="B27" s="3">
        <v>51262</v>
      </c>
      <c r="C27" s="3">
        <v>148</v>
      </c>
      <c r="D27" s="3">
        <v>14000</v>
      </c>
      <c r="E27" s="3">
        <v>51114</v>
      </c>
      <c r="F27" s="8">
        <v>4700</v>
      </c>
      <c r="G27" s="3">
        <v>2050000</v>
      </c>
      <c r="H27" s="3">
        <v>3200</v>
      </c>
      <c r="I27" s="3">
        <v>48062</v>
      </c>
      <c r="J27" s="4">
        <v>19.5</v>
      </c>
      <c r="K27" s="2">
        <v>68000</v>
      </c>
      <c r="L27" s="2">
        <v>9</v>
      </c>
    </row>
    <row r="28" spans="1:12" ht="18" x14ac:dyDescent="0.2">
      <c r="A28" s="2">
        <v>2025</v>
      </c>
      <c r="B28" s="3">
        <v>61573</v>
      </c>
      <c r="C28" s="3">
        <v>1216</v>
      </c>
      <c r="D28" s="3">
        <v>15000</v>
      </c>
      <c r="E28" s="3">
        <v>60357</v>
      </c>
      <c r="F28" s="8">
        <v>5000</v>
      </c>
      <c r="G28" s="3">
        <v>2200000</v>
      </c>
      <c r="H28" s="3">
        <v>3600</v>
      </c>
      <c r="I28" s="3">
        <v>57973</v>
      </c>
      <c r="J28" s="4">
        <v>20</v>
      </c>
      <c r="K28" s="2">
        <v>70000</v>
      </c>
      <c r="L28" s="2">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A318-4396-426D-BBB8-0B97B7C03FB9}">
  <dimension ref="A3:C216"/>
  <sheetViews>
    <sheetView topLeftCell="A12" zoomScale="120" workbookViewId="0">
      <selection activeCell="A34" sqref="A34"/>
    </sheetView>
  </sheetViews>
  <sheetFormatPr defaultRowHeight="10.199999999999999" x14ac:dyDescent="0.2"/>
  <cols>
    <col min="1" max="1" width="12" bestFit="1" customWidth="1"/>
    <col min="2" max="2" width="15.85546875" bestFit="1" customWidth="1"/>
    <col min="3" max="3" width="23.42578125" bestFit="1" customWidth="1"/>
  </cols>
  <sheetData>
    <row r="3" spans="1:2" x14ac:dyDescent="0.2">
      <c r="A3" s="5" t="s">
        <v>12</v>
      </c>
      <c r="B3" t="s">
        <v>14</v>
      </c>
    </row>
    <row r="4" spans="1:2" x14ac:dyDescent="0.2">
      <c r="A4" s="6">
        <v>1999</v>
      </c>
      <c r="B4" s="7">
        <v>200</v>
      </c>
    </row>
    <row r="5" spans="1:2" x14ac:dyDescent="0.2">
      <c r="A5" s="6">
        <v>2000</v>
      </c>
      <c r="B5" s="7">
        <v>250</v>
      </c>
    </row>
    <row r="6" spans="1:2" x14ac:dyDescent="0.2">
      <c r="A6" s="6">
        <v>2001</v>
      </c>
      <c r="B6" s="7">
        <v>310</v>
      </c>
    </row>
    <row r="7" spans="1:2" x14ac:dyDescent="0.2">
      <c r="A7" s="6">
        <v>2002</v>
      </c>
      <c r="B7" s="7">
        <v>380</v>
      </c>
    </row>
    <row r="8" spans="1:2" x14ac:dyDescent="0.2">
      <c r="A8" s="6">
        <v>2003</v>
      </c>
      <c r="B8" s="7">
        <v>450</v>
      </c>
    </row>
    <row r="9" spans="1:2" x14ac:dyDescent="0.2">
      <c r="A9" s="6">
        <v>2004</v>
      </c>
      <c r="B9" s="7">
        <v>520</v>
      </c>
    </row>
    <row r="10" spans="1:2" x14ac:dyDescent="0.2">
      <c r="A10" s="6">
        <v>2005</v>
      </c>
      <c r="B10" s="7">
        <v>650</v>
      </c>
    </row>
    <row r="11" spans="1:2" x14ac:dyDescent="0.2">
      <c r="A11" s="6">
        <v>2006</v>
      </c>
      <c r="B11" s="7">
        <v>820</v>
      </c>
    </row>
    <row r="12" spans="1:2" x14ac:dyDescent="0.2">
      <c r="A12" s="6">
        <v>2007</v>
      </c>
      <c r="B12" s="7">
        <v>1100</v>
      </c>
    </row>
    <row r="13" spans="1:2" x14ac:dyDescent="0.2">
      <c r="A13" s="6">
        <v>2008</v>
      </c>
      <c r="B13" s="7">
        <v>1500</v>
      </c>
    </row>
    <row r="14" spans="1:2" x14ac:dyDescent="0.2">
      <c r="A14" s="6">
        <v>2009</v>
      </c>
      <c r="B14" s="7">
        <v>2100</v>
      </c>
    </row>
    <row r="15" spans="1:2" x14ac:dyDescent="0.2">
      <c r="A15" s="6">
        <v>2010</v>
      </c>
      <c r="B15" s="7">
        <v>2800</v>
      </c>
    </row>
    <row r="16" spans="1:2" x14ac:dyDescent="0.2">
      <c r="A16" s="6">
        <v>2011</v>
      </c>
      <c r="B16" s="7">
        <v>3800</v>
      </c>
    </row>
    <row r="17" spans="1:2" x14ac:dyDescent="0.2">
      <c r="A17" s="6">
        <v>2012</v>
      </c>
      <c r="B17" s="7">
        <v>5200</v>
      </c>
    </row>
    <row r="18" spans="1:2" x14ac:dyDescent="0.2">
      <c r="A18" s="6">
        <v>2013</v>
      </c>
      <c r="B18" s="7">
        <v>7500</v>
      </c>
    </row>
    <row r="19" spans="1:2" x14ac:dyDescent="0.2">
      <c r="A19" s="6">
        <v>2014</v>
      </c>
      <c r="B19" s="7">
        <v>11000</v>
      </c>
    </row>
    <row r="20" spans="1:2" x14ac:dyDescent="0.2">
      <c r="A20" s="6">
        <v>2015</v>
      </c>
      <c r="B20" s="7">
        <v>15000</v>
      </c>
    </row>
    <row r="21" spans="1:2" x14ac:dyDescent="0.2">
      <c r="A21" s="6">
        <v>2016</v>
      </c>
      <c r="B21" s="7">
        <v>21000</v>
      </c>
    </row>
    <row r="22" spans="1:2" x14ac:dyDescent="0.2">
      <c r="A22" s="6">
        <v>2017</v>
      </c>
      <c r="B22" s="7">
        <v>26000</v>
      </c>
    </row>
    <row r="23" spans="1:2" x14ac:dyDescent="0.2">
      <c r="A23" s="6">
        <v>2018</v>
      </c>
      <c r="B23" s="7">
        <v>30000</v>
      </c>
    </row>
    <row r="24" spans="1:2" x14ac:dyDescent="0.2">
      <c r="A24" s="6">
        <v>2019</v>
      </c>
      <c r="B24" s="7">
        <v>29000</v>
      </c>
    </row>
    <row r="25" spans="1:2" x14ac:dyDescent="0.2">
      <c r="A25" s="6">
        <v>2020</v>
      </c>
      <c r="B25" s="7">
        <v>32800</v>
      </c>
    </row>
    <row r="26" spans="1:2" x14ac:dyDescent="0.2">
      <c r="A26" s="6">
        <v>2021</v>
      </c>
      <c r="B26" s="7">
        <v>37090</v>
      </c>
    </row>
    <row r="27" spans="1:2" x14ac:dyDescent="0.2">
      <c r="A27" s="6">
        <v>2022</v>
      </c>
      <c r="B27" s="7">
        <v>52361</v>
      </c>
    </row>
    <row r="28" spans="1:2" x14ac:dyDescent="0.2">
      <c r="A28" s="6">
        <v>2023</v>
      </c>
      <c r="B28" s="7">
        <v>58185</v>
      </c>
    </row>
    <row r="29" spans="1:2" x14ac:dyDescent="0.2">
      <c r="A29" s="6">
        <v>2024</v>
      </c>
      <c r="B29" s="7">
        <v>51262</v>
      </c>
    </row>
    <row r="30" spans="1:2" x14ac:dyDescent="0.2">
      <c r="A30" s="6">
        <v>2025</v>
      </c>
      <c r="B30" s="7">
        <v>61573</v>
      </c>
    </row>
    <row r="31" spans="1:2" x14ac:dyDescent="0.2">
      <c r="A31" s="6" t="s">
        <v>13</v>
      </c>
      <c r="B31" s="7">
        <v>452851</v>
      </c>
    </row>
    <row r="34" spans="1:3" x14ac:dyDescent="0.2">
      <c r="A34" s="5" t="s">
        <v>12</v>
      </c>
      <c r="B34" t="s">
        <v>15</v>
      </c>
      <c r="C34" t="s">
        <v>16</v>
      </c>
    </row>
    <row r="35" spans="1:3" x14ac:dyDescent="0.2">
      <c r="A35" s="6">
        <v>1999</v>
      </c>
      <c r="B35" s="7">
        <v>5</v>
      </c>
      <c r="C35" s="7">
        <v>195</v>
      </c>
    </row>
    <row r="36" spans="1:3" x14ac:dyDescent="0.2">
      <c r="A36" s="6">
        <v>2000</v>
      </c>
      <c r="B36" s="7">
        <v>7</v>
      </c>
      <c r="C36" s="7">
        <v>243</v>
      </c>
    </row>
    <row r="37" spans="1:3" x14ac:dyDescent="0.2">
      <c r="A37" s="6">
        <v>2001</v>
      </c>
      <c r="B37" s="7">
        <v>9</v>
      </c>
      <c r="C37" s="7">
        <v>301</v>
      </c>
    </row>
    <row r="38" spans="1:3" x14ac:dyDescent="0.2">
      <c r="A38" s="6">
        <v>2002</v>
      </c>
      <c r="B38" s="7">
        <v>12</v>
      </c>
      <c r="C38" s="7">
        <v>368</v>
      </c>
    </row>
    <row r="39" spans="1:3" x14ac:dyDescent="0.2">
      <c r="A39" s="6">
        <v>2003</v>
      </c>
      <c r="B39" s="7">
        <v>15</v>
      </c>
      <c r="C39" s="7">
        <v>435</v>
      </c>
    </row>
    <row r="40" spans="1:3" x14ac:dyDescent="0.2">
      <c r="A40" s="6">
        <v>2004</v>
      </c>
      <c r="B40" s="7">
        <v>18</v>
      </c>
      <c r="C40" s="7">
        <v>502</v>
      </c>
    </row>
    <row r="41" spans="1:3" x14ac:dyDescent="0.2">
      <c r="A41" s="6">
        <v>2005</v>
      </c>
      <c r="B41" s="7">
        <v>25</v>
      </c>
      <c r="C41" s="7">
        <v>625</v>
      </c>
    </row>
    <row r="42" spans="1:3" x14ac:dyDescent="0.2">
      <c r="A42" s="6">
        <v>2006</v>
      </c>
      <c r="B42" s="7">
        <v>40</v>
      </c>
      <c r="C42" s="7">
        <v>780</v>
      </c>
    </row>
    <row r="43" spans="1:3" x14ac:dyDescent="0.2">
      <c r="A43" s="6">
        <v>2007</v>
      </c>
      <c r="B43" s="7">
        <v>55</v>
      </c>
      <c r="C43" s="7">
        <v>1045</v>
      </c>
    </row>
    <row r="44" spans="1:3" x14ac:dyDescent="0.2">
      <c r="A44" s="6">
        <v>2008</v>
      </c>
      <c r="B44" s="7">
        <v>75</v>
      </c>
      <c r="C44" s="7">
        <v>1425</v>
      </c>
    </row>
    <row r="45" spans="1:3" x14ac:dyDescent="0.2">
      <c r="A45" s="6">
        <v>2009</v>
      </c>
      <c r="B45" s="7">
        <v>95</v>
      </c>
      <c r="C45" s="7">
        <v>2005</v>
      </c>
    </row>
    <row r="46" spans="1:3" x14ac:dyDescent="0.2">
      <c r="A46" s="6">
        <v>2010</v>
      </c>
      <c r="B46" s="7">
        <v>120</v>
      </c>
      <c r="C46" s="7">
        <v>2680</v>
      </c>
    </row>
    <row r="47" spans="1:3" x14ac:dyDescent="0.2">
      <c r="A47" s="6">
        <v>2011</v>
      </c>
      <c r="B47" s="7">
        <v>160</v>
      </c>
      <c r="C47" s="7">
        <v>3640</v>
      </c>
    </row>
    <row r="48" spans="1:3" x14ac:dyDescent="0.2">
      <c r="A48" s="6">
        <v>2012</v>
      </c>
      <c r="B48" s="7">
        <v>220</v>
      </c>
      <c r="C48" s="7">
        <v>4980</v>
      </c>
    </row>
    <row r="49" spans="1:3" x14ac:dyDescent="0.2">
      <c r="A49" s="6">
        <v>2013</v>
      </c>
      <c r="B49" s="7">
        <v>300</v>
      </c>
      <c r="C49" s="7">
        <v>7200</v>
      </c>
    </row>
    <row r="50" spans="1:3" x14ac:dyDescent="0.2">
      <c r="A50" s="6">
        <v>2014</v>
      </c>
      <c r="B50" s="7">
        <v>340</v>
      </c>
      <c r="C50" s="7">
        <v>10660</v>
      </c>
    </row>
    <row r="51" spans="1:3" x14ac:dyDescent="0.2">
      <c r="A51" s="6">
        <v>2015</v>
      </c>
      <c r="B51" s="7">
        <v>420</v>
      </c>
      <c r="C51" s="7">
        <v>14580</v>
      </c>
    </row>
    <row r="52" spans="1:3" x14ac:dyDescent="0.2">
      <c r="A52" s="6">
        <v>2016</v>
      </c>
      <c r="B52" s="7">
        <v>480</v>
      </c>
      <c r="C52" s="7">
        <v>20520</v>
      </c>
    </row>
    <row r="53" spans="1:3" x14ac:dyDescent="0.2">
      <c r="A53" s="6">
        <v>2017</v>
      </c>
      <c r="B53" s="7">
        <v>520</v>
      </c>
      <c r="C53" s="7">
        <v>25480</v>
      </c>
    </row>
    <row r="54" spans="1:3" x14ac:dyDescent="0.2">
      <c r="A54" s="6">
        <v>2018</v>
      </c>
      <c r="B54" s="7">
        <v>600</v>
      </c>
      <c r="C54" s="7">
        <v>29400</v>
      </c>
    </row>
    <row r="55" spans="1:3" x14ac:dyDescent="0.2">
      <c r="A55" s="6">
        <v>2019</v>
      </c>
      <c r="B55" s="7">
        <v>380</v>
      </c>
      <c r="C55" s="7">
        <v>28620</v>
      </c>
    </row>
    <row r="56" spans="1:3" x14ac:dyDescent="0.2">
      <c r="A56" s="6">
        <v>2020</v>
      </c>
      <c r="B56" s="7">
        <v>460</v>
      </c>
      <c r="C56" s="7">
        <v>32340</v>
      </c>
    </row>
    <row r="57" spans="1:3" x14ac:dyDescent="0.2">
      <c r="A57" s="6">
        <v>2021</v>
      </c>
      <c r="B57" s="7">
        <v>770</v>
      </c>
      <c r="C57" s="7">
        <v>36320</v>
      </c>
    </row>
    <row r="58" spans="1:3" x14ac:dyDescent="0.2">
      <c r="A58" s="6">
        <v>2022</v>
      </c>
      <c r="B58" s="7">
        <v>807</v>
      </c>
      <c r="C58" s="7">
        <v>51554</v>
      </c>
    </row>
    <row r="59" spans="1:3" x14ac:dyDescent="0.2">
      <c r="A59" s="6">
        <v>2023</v>
      </c>
      <c r="B59" s="7">
        <v>582</v>
      </c>
      <c r="C59" s="7">
        <v>57603</v>
      </c>
    </row>
    <row r="60" spans="1:3" x14ac:dyDescent="0.2">
      <c r="A60" s="6">
        <v>2024</v>
      </c>
      <c r="B60" s="7">
        <v>148</v>
      </c>
      <c r="C60" s="7">
        <v>51114</v>
      </c>
    </row>
    <row r="61" spans="1:3" x14ac:dyDescent="0.2">
      <c r="A61" s="6">
        <v>2025</v>
      </c>
      <c r="B61" s="7">
        <v>1216</v>
      </c>
      <c r="C61" s="7">
        <v>60357</v>
      </c>
    </row>
    <row r="62" spans="1:3" x14ac:dyDescent="0.2">
      <c r="A62" s="6" t="s">
        <v>13</v>
      </c>
      <c r="B62" s="7">
        <v>7879</v>
      </c>
      <c r="C62" s="7">
        <v>444972</v>
      </c>
    </row>
    <row r="65" spans="1:3" x14ac:dyDescent="0.2">
      <c r="A65" s="5" t="s">
        <v>12</v>
      </c>
      <c r="B65" t="s">
        <v>17</v>
      </c>
      <c r="C65" t="s">
        <v>18</v>
      </c>
    </row>
    <row r="66" spans="1:3" x14ac:dyDescent="0.2">
      <c r="A66" s="6">
        <v>1999</v>
      </c>
      <c r="B66" s="7">
        <v>180</v>
      </c>
      <c r="C66" s="7">
        <v>20</v>
      </c>
    </row>
    <row r="67" spans="1:3" x14ac:dyDescent="0.2">
      <c r="A67" s="6">
        <v>2000</v>
      </c>
      <c r="B67" s="7">
        <v>225</v>
      </c>
      <c r="C67" s="7">
        <v>25</v>
      </c>
    </row>
    <row r="68" spans="1:3" x14ac:dyDescent="0.2">
      <c r="A68" s="6">
        <v>2001</v>
      </c>
      <c r="B68" s="7">
        <v>280</v>
      </c>
      <c r="C68" s="7">
        <v>30</v>
      </c>
    </row>
    <row r="69" spans="1:3" x14ac:dyDescent="0.2">
      <c r="A69" s="6">
        <v>2002</v>
      </c>
      <c r="B69" s="7">
        <v>345</v>
      </c>
      <c r="C69" s="7">
        <v>35</v>
      </c>
    </row>
    <row r="70" spans="1:3" x14ac:dyDescent="0.2">
      <c r="A70" s="6">
        <v>2003</v>
      </c>
      <c r="B70" s="7">
        <v>410</v>
      </c>
      <c r="C70" s="7">
        <v>40</v>
      </c>
    </row>
    <row r="71" spans="1:3" x14ac:dyDescent="0.2">
      <c r="A71" s="6">
        <v>2004</v>
      </c>
      <c r="B71" s="7">
        <v>475</v>
      </c>
      <c r="C71" s="7">
        <v>45</v>
      </c>
    </row>
    <row r="72" spans="1:3" x14ac:dyDescent="0.2">
      <c r="A72" s="6">
        <v>2005</v>
      </c>
      <c r="B72" s="7">
        <v>595</v>
      </c>
      <c r="C72" s="7">
        <v>55</v>
      </c>
    </row>
    <row r="73" spans="1:3" x14ac:dyDescent="0.2">
      <c r="A73" s="6">
        <v>2006</v>
      </c>
      <c r="B73" s="7">
        <v>750</v>
      </c>
      <c r="C73" s="7">
        <v>70</v>
      </c>
    </row>
    <row r="74" spans="1:3" x14ac:dyDescent="0.2">
      <c r="A74" s="6">
        <v>2007</v>
      </c>
      <c r="B74" s="7">
        <v>1010</v>
      </c>
      <c r="C74" s="7">
        <v>90</v>
      </c>
    </row>
    <row r="75" spans="1:3" x14ac:dyDescent="0.2">
      <c r="A75" s="6">
        <v>2008</v>
      </c>
      <c r="B75" s="7">
        <v>1380</v>
      </c>
      <c r="C75" s="7">
        <v>120</v>
      </c>
    </row>
    <row r="76" spans="1:3" x14ac:dyDescent="0.2">
      <c r="A76" s="6">
        <v>2009</v>
      </c>
      <c r="B76" s="7">
        <v>1950</v>
      </c>
      <c r="C76" s="7">
        <v>150</v>
      </c>
    </row>
    <row r="77" spans="1:3" x14ac:dyDescent="0.2">
      <c r="A77" s="6">
        <v>2010</v>
      </c>
      <c r="B77" s="7">
        <v>2600</v>
      </c>
      <c r="C77" s="7">
        <v>200</v>
      </c>
    </row>
    <row r="78" spans="1:3" x14ac:dyDescent="0.2">
      <c r="A78" s="6">
        <v>2011</v>
      </c>
      <c r="B78" s="7">
        <v>3540</v>
      </c>
      <c r="C78" s="7">
        <v>260</v>
      </c>
    </row>
    <row r="79" spans="1:3" x14ac:dyDescent="0.2">
      <c r="A79" s="6">
        <v>2012</v>
      </c>
      <c r="B79" s="7">
        <v>4850</v>
      </c>
      <c r="C79" s="7">
        <v>350</v>
      </c>
    </row>
    <row r="80" spans="1:3" x14ac:dyDescent="0.2">
      <c r="A80" s="6">
        <v>2013</v>
      </c>
      <c r="B80" s="7">
        <v>7020</v>
      </c>
      <c r="C80" s="7">
        <v>480</v>
      </c>
    </row>
    <row r="81" spans="1:3" x14ac:dyDescent="0.2">
      <c r="A81" s="6">
        <v>2014</v>
      </c>
      <c r="B81" s="7">
        <v>10350</v>
      </c>
      <c r="C81" s="7">
        <v>650</v>
      </c>
    </row>
    <row r="82" spans="1:3" x14ac:dyDescent="0.2">
      <c r="A82" s="6">
        <v>2015</v>
      </c>
      <c r="B82" s="7">
        <v>14150</v>
      </c>
      <c r="C82" s="7">
        <v>850</v>
      </c>
    </row>
    <row r="83" spans="1:3" x14ac:dyDescent="0.2">
      <c r="A83" s="6">
        <v>2016</v>
      </c>
      <c r="B83" s="7">
        <v>19900</v>
      </c>
      <c r="C83" s="7">
        <v>1100</v>
      </c>
    </row>
    <row r="84" spans="1:3" x14ac:dyDescent="0.2">
      <c r="A84" s="6">
        <v>2017</v>
      </c>
      <c r="B84" s="7">
        <v>24700</v>
      </c>
      <c r="C84" s="7">
        <v>1300</v>
      </c>
    </row>
    <row r="85" spans="1:3" x14ac:dyDescent="0.2">
      <c r="A85" s="6">
        <v>2018</v>
      </c>
      <c r="B85" s="7">
        <v>28500</v>
      </c>
      <c r="C85" s="7">
        <v>1500</v>
      </c>
    </row>
    <row r="86" spans="1:3" x14ac:dyDescent="0.2">
      <c r="A86" s="6">
        <v>2019</v>
      </c>
      <c r="B86" s="7">
        <v>27400</v>
      </c>
      <c r="C86" s="7">
        <v>1600</v>
      </c>
    </row>
    <row r="87" spans="1:3" x14ac:dyDescent="0.2">
      <c r="A87" s="6">
        <v>2020</v>
      </c>
      <c r="B87" s="7">
        <v>31000</v>
      </c>
      <c r="C87" s="7">
        <v>1800</v>
      </c>
    </row>
    <row r="88" spans="1:3" x14ac:dyDescent="0.2">
      <c r="A88" s="6">
        <v>2021</v>
      </c>
      <c r="B88" s="7">
        <v>35090</v>
      </c>
      <c r="C88" s="7">
        <v>2000</v>
      </c>
    </row>
    <row r="89" spans="1:3" x14ac:dyDescent="0.2">
      <c r="A89" s="6">
        <v>2022</v>
      </c>
      <c r="B89" s="7">
        <v>49761</v>
      </c>
      <c r="C89" s="7">
        <v>2600</v>
      </c>
    </row>
    <row r="90" spans="1:3" x14ac:dyDescent="0.2">
      <c r="A90" s="6">
        <v>2023</v>
      </c>
      <c r="B90" s="7">
        <v>55185</v>
      </c>
      <c r="C90" s="7">
        <v>3000</v>
      </c>
    </row>
    <row r="91" spans="1:3" x14ac:dyDescent="0.2">
      <c r="A91" s="6">
        <v>2024</v>
      </c>
      <c r="B91" s="7">
        <v>48062</v>
      </c>
      <c r="C91" s="7">
        <v>3200</v>
      </c>
    </row>
    <row r="92" spans="1:3" x14ac:dyDescent="0.2">
      <c r="A92" s="6">
        <v>2025</v>
      </c>
      <c r="B92" s="7">
        <v>57973</v>
      </c>
      <c r="C92" s="7">
        <v>3600</v>
      </c>
    </row>
    <row r="93" spans="1:3" x14ac:dyDescent="0.2">
      <c r="A93" s="6" t="s">
        <v>13</v>
      </c>
      <c r="B93" s="7">
        <v>427681</v>
      </c>
      <c r="C93" s="7">
        <v>25170</v>
      </c>
    </row>
    <row r="96" spans="1:3" x14ac:dyDescent="0.2">
      <c r="A96" s="5" t="s">
        <v>12</v>
      </c>
      <c r="B96" t="s">
        <v>19</v>
      </c>
    </row>
    <row r="97" spans="1:2" x14ac:dyDescent="0.2">
      <c r="A97" s="6">
        <v>1999</v>
      </c>
      <c r="B97" s="1">
        <v>2</v>
      </c>
    </row>
    <row r="98" spans="1:2" x14ac:dyDescent="0.2">
      <c r="A98" s="6">
        <v>2000</v>
      </c>
      <c r="B98" s="1">
        <v>2.2999999999999998</v>
      </c>
    </row>
    <row r="99" spans="1:2" x14ac:dyDescent="0.2">
      <c r="A99" s="6">
        <v>2001</v>
      </c>
      <c r="B99" s="1">
        <v>2.5</v>
      </c>
    </row>
    <row r="100" spans="1:2" x14ac:dyDescent="0.2">
      <c r="A100" s="6">
        <v>2002</v>
      </c>
      <c r="B100" s="1">
        <v>2.8</v>
      </c>
    </row>
    <row r="101" spans="1:2" x14ac:dyDescent="0.2">
      <c r="A101" s="6">
        <v>2003</v>
      </c>
      <c r="B101" s="1">
        <v>3.2</v>
      </c>
    </row>
    <row r="102" spans="1:2" x14ac:dyDescent="0.2">
      <c r="A102" s="6">
        <v>2004</v>
      </c>
      <c r="B102" s="1">
        <v>3.6</v>
      </c>
    </row>
    <row r="103" spans="1:2" x14ac:dyDescent="0.2">
      <c r="A103" s="6">
        <v>2005</v>
      </c>
      <c r="B103" s="1">
        <v>4</v>
      </c>
    </row>
    <row r="104" spans="1:2" x14ac:dyDescent="0.2">
      <c r="A104" s="6">
        <v>2006</v>
      </c>
      <c r="B104" s="1">
        <v>4.8</v>
      </c>
    </row>
    <row r="105" spans="1:2" x14ac:dyDescent="0.2">
      <c r="A105" s="6">
        <v>2007</v>
      </c>
      <c r="B105" s="1">
        <v>5.5</v>
      </c>
    </row>
    <row r="106" spans="1:2" x14ac:dyDescent="0.2">
      <c r="A106" s="6">
        <v>2008</v>
      </c>
      <c r="B106" s="1">
        <v>6</v>
      </c>
    </row>
    <row r="107" spans="1:2" x14ac:dyDescent="0.2">
      <c r="A107" s="6">
        <v>2009</v>
      </c>
      <c r="B107" s="1">
        <v>6.8</v>
      </c>
    </row>
    <row r="108" spans="1:2" x14ac:dyDescent="0.2">
      <c r="A108" s="6">
        <v>2010</v>
      </c>
      <c r="B108" s="1">
        <v>7.5</v>
      </c>
    </row>
    <row r="109" spans="1:2" x14ac:dyDescent="0.2">
      <c r="A109" s="6">
        <v>2011</v>
      </c>
      <c r="B109" s="1">
        <v>8</v>
      </c>
    </row>
    <row r="110" spans="1:2" x14ac:dyDescent="0.2">
      <c r="A110" s="6">
        <v>2012</v>
      </c>
      <c r="B110" s="1">
        <v>8.5</v>
      </c>
    </row>
    <row r="111" spans="1:2" x14ac:dyDescent="0.2">
      <c r="A111" s="6">
        <v>2013</v>
      </c>
      <c r="B111" s="1">
        <v>9</v>
      </c>
    </row>
    <row r="112" spans="1:2" x14ac:dyDescent="0.2">
      <c r="A112" s="6">
        <v>2014</v>
      </c>
      <c r="B112" s="1">
        <v>10</v>
      </c>
    </row>
    <row r="113" spans="1:2" x14ac:dyDescent="0.2">
      <c r="A113" s="6">
        <v>2015</v>
      </c>
      <c r="B113" s="1">
        <v>11</v>
      </c>
    </row>
    <row r="114" spans="1:2" x14ac:dyDescent="0.2">
      <c r="A114" s="6">
        <v>2016</v>
      </c>
      <c r="B114" s="1">
        <v>12</v>
      </c>
    </row>
    <row r="115" spans="1:2" x14ac:dyDescent="0.2">
      <c r="A115" s="6">
        <v>2017</v>
      </c>
      <c r="B115" s="1">
        <v>13</v>
      </c>
    </row>
    <row r="116" spans="1:2" x14ac:dyDescent="0.2">
      <c r="A116" s="6">
        <v>2018</v>
      </c>
      <c r="B116" s="1">
        <v>14</v>
      </c>
    </row>
    <row r="117" spans="1:2" x14ac:dyDescent="0.2">
      <c r="A117" s="6">
        <v>2019</v>
      </c>
      <c r="B117" s="1">
        <v>15</v>
      </c>
    </row>
    <row r="118" spans="1:2" x14ac:dyDescent="0.2">
      <c r="A118" s="6">
        <v>2020</v>
      </c>
      <c r="B118" s="1">
        <v>16</v>
      </c>
    </row>
    <row r="119" spans="1:2" x14ac:dyDescent="0.2">
      <c r="A119" s="6">
        <v>2021</v>
      </c>
      <c r="B119" s="1">
        <v>17</v>
      </c>
    </row>
    <row r="120" spans="1:2" x14ac:dyDescent="0.2">
      <c r="A120" s="6">
        <v>2022</v>
      </c>
      <c r="B120" s="1">
        <v>18</v>
      </c>
    </row>
    <row r="121" spans="1:2" x14ac:dyDescent="0.2">
      <c r="A121" s="6">
        <v>2023</v>
      </c>
      <c r="B121" s="1">
        <v>19</v>
      </c>
    </row>
    <row r="122" spans="1:2" x14ac:dyDescent="0.2">
      <c r="A122" s="6">
        <v>2024</v>
      </c>
      <c r="B122" s="1">
        <v>19.5</v>
      </c>
    </row>
    <row r="123" spans="1:2" x14ac:dyDescent="0.2">
      <c r="A123" s="6">
        <v>2025</v>
      </c>
      <c r="B123" s="1">
        <v>20</v>
      </c>
    </row>
    <row r="124" spans="1:2" x14ac:dyDescent="0.2">
      <c r="A124" s="6" t="s">
        <v>13</v>
      </c>
      <c r="B124" s="1">
        <v>9.6666666666666661</v>
      </c>
    </row>
    <row r="127" spans="1:2" x14ac:dyDescent="0.2">
      <c r="A127" s="5" t="s">
        <v>12</v>
      </c>
      <c r="B127" t="s">
        <v>20</v>
      </c>
    </row>
    <row r="128" spans="1:2" x14ac:dyDescent="0.2">
      <c r="A128" s="6">
        <v>1999</v>
      </c>
      <c r="B128" s="9">
        <v>2000</v>
      </c>
    </row>
    <row r="129" spans="1:2" x14ac:dyDescent="0.2">
      <c r="A129" s="6">
        <v>2000</v>
      </c>
      <c r="B129" s="9">
        <v>2500</v>
      </c>
    </row>
    <row r="130" spans="1:2" x14ac:dyDescent="0.2">
      <c r="A130" s="6">
        <v>2001</v>
      </c>
      <c r="B130" s="9">
        <v>3000</v>
      </c>
    </row>
    <row r="131" spans="1:2" x14ac:dyDescent="0.2">
      <c r="A131" s="6">
        <v>2002</v>
      </c>
      <c r="B131" s="9">
        <v>3500</v>
      </c>
    </row>
    <row r="132" spans="1:2" x14ac:dyDescent="0.2">
      <c r="A132" s="6">
        <v>2003</v>
      </c>
      <c r="B132" s="9">
        <v>4000</v>
      </c>
    </row>
    <row r="133" spans="1:2" x14ac:dyDescent="0.2">
      <c r="A133" s="6">
        <v>2004</v>
      </c>
      <c r="B133" s="9">
        <v>5000</v>
      </c>
    </row>
    <row r="134" spans="1:2" x14ac:dyDescent="0.2">
      <c r="A134" s="6">
        <v>2005</v>
      </c>
      <c r="B134" s="9">
        <v>6000</v>
      </c>
    </row>
    <row r="135" spans="1:2" x14ac:dyDescent="0.2">
      <c r="A135" s="6">
        <v>2006</v>
      </c>
      <c r="B135" s="9">
        <v>7000</v>
      </c>
    </row>
    <row r="136" spans="1:2" x14ac:dyDescent="0.2">
      <c r="A136" s="6">
        <v>2007</v>
      </c>
      <c r="B136" s="9">
        <v>9000</v>
      </c>
    </row>
    <row r="137" spans="1:2" x14ac:dyDescent="0.2">
      <c r="A137" s="6">
        <v>2008</v>
      </c>
      <c r="B137" s="9">
        <v>11000</v>
      </c>
    </row>
    <row r="138" spans="1:2" x14ac:dyDescent="0.2">
      <c r="A138" s="6">
        <v>2009</v>
      </c>
      <c r="B138" s="9">
        <v>13000</v>
      </c>
    </row>
    <row r="139" spans="1:2" x14ac:dyDescent="0.2">
      <c r="A139" s="6">
        <v>2010</v>
      </c>
      <c r="B139" s="9">
        <v>15000</v>
      </c>
    </row>
    <row r="140" spans="1:2" x14ac:dyDescent="0.2">
      <c r="A140" s="6">
        <v>2011</v>
      </c>
      <c r="B140" s="9">
        <v>18000</v>
      </c>
    </row>
    <row r="141" spans="1:2" x14ac:dyDescent="0.2">
      <c r="A141" s="6">
        <v>2012</v>
      </c>
      <c r="B141" s="9">
        <v>22000</v>
      </c>
    </row>
    <row r="142" spans="1:2" x14ac:dyDescent="0.2">
      <c r="A142" s="6">
        <v>2013</v>
      </c>
      <c r="B142" s="9">
        <v>26000</v>
      </c>
    </row>
    <row r="143" spans="1:2" x14ac:dyDescent="0.2">
      <c r="A143" s="6">
        <v>2014</v>
      </c>
      <c r="B143" s="9">
        <v>30000</v>
      </c>
    </row>
    <row r="144" spans="1:2" x14ac:dyDescent="0.2">
      <c r="A144" s="6">
        <v>2015</v>
      </c>
      <c r="B144" s="9">
        <v>35000</v>
      </c>
    </row>
    <row r="145" spans="1:2" x14ac:dyDescent="0.2">
      <c r="A145" s="6">
        <v>2016</v>
      </c>
      <c r="B145" s="9">
        <v>40000</v>
      </c>
    </row>
    <row r="146" spans="1:2" x14ac:dyDescent="0.2">
      <c r="A146" s="6">
        <v>2017</v>
      </c>
      <c r="B146" s="9">
        <v>45000</v>
      </c>
    </row>
    <row r="147" spans="1:2" x14ac:dyDescent="0.2">
      <c r="A147" s="6">
        <v>2018</v>
      </c>
      <c r="B147" s="9">
        <v>50000</v>
      </c>
    </row>
    <row r="148" spans="1:2" x14ac:dyDescent="0.2">
      <c r="A148" s="6">
        <v>2019</v>
      </c>
      <c r="B148" s="9">
        <v>52000</v>
      </c>
    </row>
    <row r="149" spans="1:2" x14ac:dyDescent="0.2">
      <c r="A149" s="6">
        <v>2020</v>
      </c>
      <c r="B149" s="9">
        <v>55000</v>
      </c>
    </row>
    <row r="150" spans="1:2" x14ac:dyDescent="0.2">
      <c r="A150" s="6">
        <v>2021</v>
      </c>
      <c r="B150" s="9">
        <v>58000</v>
      </c>
    </row>
    <row r="151" spans="1:2" x14ac:dyDescent="0.2">
      <c r="A151" s="6">
        <v>2022</v>
      </c>
      <c r="B151" s="9">
        <v>60000</v>
      </c>
    </row>
    <row r="152" spans="1:2" x14ac:dyDescent="0.2">
      <c r="A152" s="6">
        <v>2023</v>
      </c>
      <c r="B152" s="9">
        <v>65000</v>
      </c>
    </row>
    <row r="153" spans="1:2" x14ac:dyDescent="0.2">
      <c r="A153" s="6">
        <v>2024</v>
      </c>
      <c r="B153" s="9">
        <v>68000</v>
      </c>
    </row>
    <row r="154" spans="1:2" x14ac:dyDescent="0.2">
      <c r="A154" s="6">
        <v>2025</v>
      </c>
      <c r="B154" s="9">
        <v>70000</v>
      </c>
    </row>
    <row r="155" spans="1:2" x14ac:dyDescent="0.2">
      <c r="A155" s="6" t="s">
        <v>13</v>
      </c>
      <c r="B155" s="9">
        <v>70000</v>
      </c>
    </row>
    <row r="158" spans="1:2" x14ac:dyDescent="0.2">
      <c r="A158" s="5" t="s">
        <v>12</v>
      </c>
      <c r="B158" t="s">
        <v>21</v>
      </c>
    </row>
    <row r="159" spans="1:2" x14ac:dyDescent="0.2">
      <c r="A159" s="6">
        <v>1999</v>
      </c>
      <c r="B159" s="9">
        <v>2</v>
      </c>
    </row>
    <row r="160" spans="1:2" x14ac:dyDescent="0.2">
      <c r="A160" s="6">
        <v>2000</v>
      </c>
      <c r="B160" s="9">
        <v>2</v>
      </c>
    </row>
    <row r="161" spans="1:2" x14ac:dyDescent="0.2">
      <c r="A161" s="6">
        <v>2001</v>
      </c>
      <c r="B161" s="9">
        <v>2</v>
      </c>
    </row>
    <row r="162" spans="1:2" x14ac:dyDescent="0.2">
      <c r="A162" s="6">
        <v>2002</v>
      </c>
      <c r="B162" s="9">
        <v>2</v>
      </c>
    </row>
    <row r="163" spans="1:2" x14ac:dyDescent="0.2">
      <c r="A163" s="6">
        <v>2003</v>
      </c>
      <c r="B163" s="9">
        <v>3</v>
      </c>
    </row>
    <row r="164" spans="1:2" x14ac:dyDescent="0.2">
      <c r="A164" s="6">
        <v>2004</v>
      </c>
      <c r="B164" s="9">
        <v>3</v>
      </c>
    </row>
    <row r="165" spans="1:2" x14ac:dyDescent="0.2">
      <c r="A165" s="6">
        <v>2005</v>
      </c>
      <c r="B165" s="9">
        <v>3</v>
      </c>
    </row>
    <row r="166" spans="1:2" x14ac:dyDescent="0.2">
      <c r="A166" s="6">
        <v>2006</v>
      </c>
      <c r="B166" s="9">
        <v>3</v>
      </c>
    </row>
    <row r="167" spans="1:2" x14ac:dyDescent="0.2">
      <c r="A167" s="6">
        <v>2007</v>
      </c>
      <c r="B167" s="9">
        <v>4</v>
      </c>
    </row>
    <row r="168" spans="1:2" x14ac:dyDescent="0.2">
      <c r="A168" s="6">
        <v>2008</v>
      </c>
      <c r="B168" s="9">
        <v>4</v>
      </c>
    </row>
    <row r="169" spans="1:2" x14ac:dyDescent="0.2">
      <c r="A169" s="6">
        <v>2009</v>
      </c>
      <c r="B169" s="9">
        <v>4</v>
      </c>
    </row>
    <row r="170" spans="1:2" x14ac:dyDescent="0.2">
      <c r="A170" s="6">
        <v>2010</v>
      </c>
      <c r="B170" s="9">
        <v>4</v>
      </c>
    </row>
    <row r="171" spans="1:2" x14ac:dyDescent="0.2">
      <c r="A171" s="6">
        <v>2011</v>
      </c>
      <c r="B171" s="9">
        <v>5</v>
      </c>
    </row>
    <row r="172" spans="1:2" x14ac:dyDescent="0.2">
      <c r="A172" s="6">
        <v>2012</v>
      </c>
      <c r="B172" s="9">
        <v>5</v>
      </c>
    </row>
    <row r="173" spans="1:2" x14ac:dyDescent="0.2">
      <c r="A173" s="6">
        <v>2013</v>
      </c>
      <c r="B173" s="9">
        <v>5</v>
      </c>
    </row>
    <row r="174" spans="1:2" x14ac:dyDescent="0.2">
      <c r="A174" s="6">
        <v>2014</v>
      </c>
      <c r="B174" s="9">
        <v>6</v>
      </c>
    </row>
    <row r="175" spans="1:2" x14ac:dyDescent="0.2">
      <c r="A175" s="6">
        <v>2015</v>
      </c>
      <c r="B175" s="9">
        <v>6</v>
      </c>
    </row>
    <row r="176" spans="1:2" x14ac:dyDescent="0.2">
      <c r="A176" s="6">
        <v>2016</v>
      </c>
      <c r="B176" s="9">
        <v>6</v>
      </c>
    </row>
    <row r="177" spans="1:2" x14ac:dyDescent="0.2">
      <c r="A177" s="6">
        <v>2017</v>
      </c>
      <c r="B177" s="9">
        <v>7</v>
      </c>
    </row>
    <row r="178" spans="1:2" x14ac:dyDescent="0.2">
      <c r="A178" s="6">
        <v>2018</v>
      </c>
      <c r="B178" s="9">
        <v>7</v>
      </c>
    </row>
    <row r="179" spans="1:2" x14ac:dyDescent="0.2">
      <c r="A179" s="6">
        <v>2019</v>
      </c>
      <c r="B179" s="9">
        <v>7</v>
      </c>
    </row>
    <row r="180" spans="1:2" x14ac:dyDescent="0.2">
      <c r="A180" s="6">
        <v>2020</v>
      </c>
      <c r="B180" s="9">
        <v>8</v>
      </c>
    </row>
    <row r="181" spans="1:2" x14ac:dyDescent="0.2">
      <c r="A181" s="6">
        <v>2021</v>
      </c>
      <c r="B181" s="9">
        <v>8</v>
      </c>
    </row>
    <row r="182" spans="1:2" x14ac:dyDescent="0.2">
      <c r="A182" s="6">
        <v>2022</v>
      </c>
      <c r="B182" s="9">
        <v>8</v>
      </c>
    </row>
    <row r="183" spans="1:2" x14ac:dyDescent="0.2">
      <c r="A183" s="6">
        <v>2023</v>
      </c>
      <c r="B183" s="9">
        <v>9</v>
      </c>
    </row>
    <row r="184" spans="1:2" x14ac:dyDescent="0.2">
      <c r="A184" s="6">
        <v>2024</v>
      </c>
      <c r="B184" s="9">
        <v>9</v>
      </c>
    </row>
    <row r="185" spans="1:2" x14ac:dyDescent="0.2">
      <c r="A185" s="6">
        <v>2025</v>
      </c>
      <c r="B185" s="9">
        <v>10</v>
      </c>
    </row>
    <row r="186" spans="1:2" x14ac:dyDescent="0.2">
      <c r="A186" s="6" t="s">
        <v>13</v>
      </c>
      <c r="B186" s="9">
        <v>10</v>
      </c>
    </row>
    <row r="188" spans="1:2" x14ac:dyDescent="0.2">
      <c r="A188" s="5" t="s">
        <v>12</v>
      </c>
      <c r="B188" t="s">
        <v>22</v>
      </c>
    </row>
    <row r="189" spans="1:2" x14ac:dyDescent="0.2">
      <c r="A189" s="6">
        <v>1999</v>
      </c>
      <c r="B189" s="9">
        <v>120</v>
      </c>
    </row>
    <row r="190" spans="1:2" x14ac:dyDescent="0.2">
      <c r="A190" s="6">
        <v>2000</v>
      </c>
      <c r="B190" s="9">
        <v>150</v>
      </c>
    </row>
    <row r="191" spans="1:2" x14ac:dyDescent="0.2">
      <c r="A191" s="6">
        <v>2001</v>
      </c>
      <c r="B191" s="9">
        <v>180</v>
      </c>
    </row>
    <row r="192" spans="1:2" x14ac:dyDescent="0.2">
      <c r="A192" s="6">
        <v>2002</v>
      </c>
      <c r="B192" s="9">
        <v>210</v>
      </c>
    </row>
    <row r="193" spans="1:2" x14ac:dyDescent="0.2">
      <c r="A193" s="6">
        <v>2003</v>
      </c>
      <c r="B193" s="9">
        <v>250</v>
      </c>
    </row>
    <row r="194" spans="1:2" x14ac:dyDescent="0.2">
      <c r="A194" s="6">
        <v>2004</v>
      </c>
      <c r="B194" s="9">
        <v>300</v>
      </c>
    </row>
    <row r="195" spans="1:2" x14ac:dyDescent="0.2">
      <c r="A195" s="6">
        <v>2005</v>
      </c>
      <c r="B195" s="9">
        <v>350</v>
      </c>
    </row>
    <row r="196" spans="1:2" x14ac:dyDescent="0.2">
      <c r="A196" s="6">
        <v>2006</v>
      </c>
      <c r="B196" s="9">
        <v>420</v>
      </c>
    </row>
    <row r="197" spans="1:2" x14ac:dyDescent="0.2">
      <c r="A197" s="6">
        <v>2007</v>
      </c>
      <c r="B197" s="9">
        <v>500</v>
      </c>
    </row>
    <row r="198" spans="1:2" x14ac:dyDescent="0.2">
      <c r="A198" s="6">
        <v>2008</v>
      </c>
      <c r="B198" s="9">
        <v>620</v>
      </c>
    </row>
    <row r="199" spans="1:2" x14ac:dyDescent="0.2">
      <c r="A199" s="6">
        <v>2009</v>
      </c>
      <c r="B199" s="9">
        <v>700</v>
      </c>
    </row>
    <row r="200" spans="1:2" x14ac:dyDescent="0.2">
      <c r="A200" s="6">
        <v>2010</v>
      </c>
      <c r="B200" s="9">
        <v>820</v>
      </c>
    </row>
    <row r="201" spans="1:2" x14ac:dyDescent="0.2">
      <c r="A201" s="6">
        <v>2011</v>
      </c>
      <c r="B201" s="9">
        <v>950</v>
      </c>
    </row>
    <row r="202" spans="1:2" x14ac:dyDescent="0.2">
      <c r="A202" s="6">
        <v>2012</v>
      </c>
      <c r="B202" s="9">
        <v>1100</v>
      </c>
    </row>
    <row r="203" spans="1:2" x14ac:dyDescent="0.2">
      <c r="A203" s="6">
        <v>2013</v>
      </c>
      <c r="B203" s="9">
        <v>1400</v>
      </c>
    </row>
    <row r="204" spans="1:2" x14ac:dyDescent="0.2">
      <c r="A204" s="6">
        <v>2014</v>
      </c>
      <c r="B204" s="9">
        <v>1700</v>
      </c>
    </row>
    <row r="205" spans="1:2" x14ac:dyDescent="0.2">
      <c r="A205" s="6">
        <v>2015</v>
      </c>
      <c r="B205" s="9">
        <v>2000</v>
      </c>
    </row>
    <row r="206" spans="1:2" x14ac:dyDescent="0.2">
      <c r="A206" s="6">
        <v>2016</v>
      </c>
      <c r="B206" s="9">
        <v>2400</v>
      </c>
    </row>
    <row r="207" spans="1:2" x14ac:dyDescent="0.2">
      <c r="A207" s="6">
        <v>2017</v>
      </c>
      <c r="B207" s="9">
        <v>2800</v>
      </c>
    </row>
    <row r="208" spans="1:2" x14ac:dyDescent="0.2">
      <c r="A208" s="6">
        <v>2018</v>
      </c>
      <c r="B208" s="9">
        <v>3200</v>
      </c>
    </row>
    <row r="209" spans="1:2" x14ac:dyDescent="0.2">
      <c r="A209" s="6">
        <v>2019</v>
      </c>
      <c r="B209" s="9">
        <v>3500</v>
      </c>
    </row>
    <row r="210" spans="1:2" x14ac:dyDescent="0.2">
      <c r="A210" s="6">
        <v>2020</v>
      </c>
      <c r="B210" s="9">
        <v>3800</v>
      </c>
    </row>
    <row r="211" spans="1:2" x14ac:dyDescent="0.2">
      <c r="A211" s="6">
        <v>2021</v>
      </c>
      <c r="B211" s="9">
        <v>4000</v>
      </c>
    </row>
    <row r="212" spans="1:2" x14ac:dyDescent="0.2">
      <c r="A212" s="6">
        <v>2022</v>
      </c>
      <c r="B212" s="9">
        <v>4200</v>
      </c>
    </row>
    <row r="213" spans="1:2" x14ac:dyDescent="0.2">
      <c r="A213" s="6">
        <v>2023</v>
      </c>
      <c r="B213" s="9">
        <v>4500</v>
      </c>
    </row>
    <row r="214" spans="1:2" x14ac:dyDescent="0.2">
      <c r="A214" s="6">
        <v>2024</v>
      </c>
      <c r="B214" s="9">
        <v>4700</v>
      </c>
    </row>
    <row r="215" spans="1:2" x14ac:dyDescent="0.2">
      <c r="A215" s="6">
        <v>2025</v>
      </c>
      <c r="B215" s="9">
        <v>5000</v>
      </c>
    </row>
    <row r="216" spans="1:2" x14ac:dyDescent="0.2">
      <c r="A216" s="6" t="s">
        <v>13</v>
      </c>
      <c r="B216" s="9">
        <v>49870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2651-00DD-4B72-97A7-F2A148578E67}">
  <dimension ref="A1:AC139"/>
  <sheetViews>
    <sheetView tabSelected="1" workbookViewId="0">
      <selection activeCell="Z25" sqref="Z25"/>
    </sheetView>
  </sheetViews>
  <sheetFormatPr defaultRowHeight="10.199999999999999" x14ac:dyDescent="0.2"/>
  <cols>
    <col min="1" max="2" width="9.7109375" bestFit="1" customWidth="1"/>
  </cols>
  <sheetData>
    <row r="1" spans="1:29" x14ac:dyDescent="0.2">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29" x14ac:dyDescent="0.2">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29" x14ac:dyDescent="0.2">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row>
    <row r="4" spans="1:29" x14ac:dyDescent="0.2">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row>
    <row r="5" spans="1:29" x14ac:dyDescent="0.2">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row>
    <row r="6" spans="1:29" x14ac:dyDescent="0.2">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row>
    <row r="7" spans="1:29" x14ac:dyDescent="0.2">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row>
    <row r="8" spans="1:29" x14ac:dyDescent="0.2">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row>
    <row r="9" spans="1:29" x14ac:dyDescent="0.2">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row>
    <row r="10" spans="1:29" x14ac:dyDescent="0.2">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spans="1:29" x14ac:dyDescent="0.2">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x14ac:dyDescent="0.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spans="1:29"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2">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2">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x14ac:dyDescent="0.2">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1:29" x14ac:dyDescent="0.2">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2">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2">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2">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2">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1:29" x14ac:dyDescent="0.2">
      <c r="A26" s="10"/>
      <c r="B26" s="10"/>
      <c r="C26" s="14" t="s">
        <v>23</v>
      </c>
      <c r="D26" s="11"/>
      <c r="E26" s="11"/>
      <c r="F26" s="11"/>
      <c r="G26" s="10"/>
      <c r="H26" s="10"/>
      <c r="I26" s="15" t="s">
        <v>24</v>
      </c>
      <c r="J26" s="12"/>
      <c r="K26" s="12"/>
      <c r="L26" s="12"/>
      <c r="M26" s="10"/>
      <c r="N26" s="10"/>
      <c r="O26" s="15" t="s">
        <v>25</v>
      </c>
      <c r="P26" s="12"/>
      <c r="Q26" s="12"/>
      <c r="R26" s="12"/>
      <c r="S26" s="10"/>
      <c r="T26" s="10"/>
      <c r="U26" s="15" t="s">
        <v>26</v>
      </c>
      <c r="V26" s="12"/>
      <c r="W26" s="12"/>
      <c r="X26" s="12"/>
      <c r="Y26" s="10"/>
      <c r="Z26" s="10"/>
      <c r="AA26" s="10"/>
      <c r="AB26" s="10"/>
      <c r="AC26" s="10"/>
    </row>
    <row r="27" spans="1:29" x14ac:dyDescent="0.2">
      <c r="A27" s="10"/>
      <c r="B27" s="10"/>
      <c r="C27" s="11"/>
      <c r="D27" s="11"/>
      <c r="E27" s="11"/>
      <c r="F27" s="11"/>
      <c r="G27" s="10"/>
      <c r="H27" s="10"/>
      <c r="I27" s="12"/>
      <c r="J27" s="12"/>
      <c r="K27" s="12"/>
      <c r="L27" s="12"/>
      <c r="M27" s="10"/>
      <c r="N27" s="10"/>
      <c r="O27" s="12"/>
      <c r="P27" s="12"/>
      <c r="Q27" s="12"/>
      <c r="R27" s="12"/>
      <c r="S27" s="10"/>
      <c r="T27" s="10"/>
      <c r="U27" s="12"/>
      <c r="V27" s="12"/>
      <c r="W27" s="12"/>
      <c r="X27" s="12"/>
      <c r="Y27" s="10"/>
      <c r="Z27" s="10"/>
      <c r="AA27" s="10"/>
      <c r="AB27" s="10"/>
      <c r="AC27" s="10"/>
    </row>
    <row r="28" spans="1:29" x14ac:dyDescent="0.2">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1:29" x14ac:dyDescent="0.2">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1:29" x14ac:dyDescent="0.2">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x14ac:dyDescent="0.2">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spans="1:29" x14ac:dyDescent="0.2">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spans="1:29" x14ac:dyDescent="0.2">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spans="1:29" x14ac:dyDescent="0.2">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spans="1:29" x14ac:dyDescent="0.2">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spans="1:29" x14ac:dyDescent="0.2">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spans="1:29" x14ac:dyDescent="0.2">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spans="1:29" x14ac:dyDescent="0.2">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spans="1:29" x14ac:dyDescent="0.2">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spans="1:29" x14ac:dyDescent="0.2">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spans="1:29" x14ac:dyDescent="0.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spans="1:29" x14ac:dyDescent="0.2">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spans="1:29" x14ac:dyDescent="0.2">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spans="1:29" x14ac:dyDescent="0.2">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spans="1:29" x14ac:dyDescent="0.2">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spans="1:29" x14ac:dyDescent="0.2">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spans="1:29" x14ac:dyDescent="0.2">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spans="1:29"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spans="1:29" x14ac:dyDescent="0.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spans="1:29" x14ac:dyDescent="0.2">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spans="1:29" x14ac:dyDescent="0.2">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spans="1:29"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spans="1:29"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spans="1:29"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spans="1:29"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spans="1:29"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spans="1:29"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spans="1:29"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spans="1:29"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spans="1:29"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spans="1:29"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spans="1:29"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spans="1:29"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spans="1:29"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spans="1:29"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spans="1:29"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spans="1:29"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spans="1:29"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spans="1:29"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spans="1:29"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spans="1:29"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9" spans="1:29" x14ac:dyDescent="0.2">
      <c r="A139" s="1">
        <f>(Sheet1!B28-Sheet1!B2)/Sheet1!B2</f>
        <v>306.86500000000001</v>
      </c>
      <c r="B139" s="1">
        <f>(Sheet1!C28-Sheet1!C2)/Sheet1!C2</f>
        <v>242.2</v>
      </c>
      <c r="C139" s="1">
        <f>(Sheet1!J28-Sheet1!J2)/Sheet1!J2</f>
        <v>9</v>
      </c>
      <c r="D139" s="1">
        <f>(Sheet1!F28-Sheet1!F2)/Sheet1!F2</f>
        <v>40.666666666666664</v>
      </c>
    </row>
  </sheetData>
  <mergeCells count="4">
    <mergeCell ref="C26:F27"/>
    <mergeCell ref="I26:L27"/>
    <mergeCell ref="O26:R27"/>
    <mergeCell ref="U26:X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Desai</dc:creator>
  <cp:lastModifiedBy>Dhruv Desai</cp:lastModifiedBy>
  <dcterms:created xsi:type="dcterms:W3CDTF">2026-03-16T15:25:13Z</dcterms:created>
  <dcterms:modified xsi:type="dcterms:W3CDTF">2026-03-17T04:16:09Z</dcterms:modified>
</cp:coreProperties>
</file>