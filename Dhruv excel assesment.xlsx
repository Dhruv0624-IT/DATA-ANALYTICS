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HP\Desktop\Dhruv\"/>
    </mc:Choice>
  </mc:AlternateContent>
  <xr:revisionPtr revIDLastSave="0" documentId="13_ncr:1_{A7282244-B586-4167-91E1-0DF1455A03B1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Instructions" sheetId="1" r:id="rId1"/>
    <sheet name="Sales_Data" sheetId="2" r:id="rId2"/>
    <sheet name="Product_Master" sheetId="3" r:id="rId3"/>
    <sheet name="Student_Marks" sheetId="4" r:id="rId4"/>
    <sheet name="Questions" sheetId="5" r:id="rId5"/>
    <sheet name="Answers" sheetId="8" r:id="rId6"/>
  </sheets>
  <calcPr calcId="191029"/>
  <pivotCaches>
    <pivotCache cacheId="8" r:id="rId7"/>
    <pivotCache cacheId="14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40" i="8" l="1"/>
  <c r="I239" i="8"/>
  <c r="I238" i="8"/>
  <c r="I237" i="8"/>
  <c r="I236" i="8"/>
  <c r="I235" i="8"/>
  <c r="H216" i="8"/>
  <c r="H217" i="8"/>
  <c r="H218" i="8"/>
  <c r="H219" i="8"/>
  <c r="H220" i="8"/>
  <c r="H215" i="8"/>
  <c r="A207" i="8"/>
  <c r="A208" i="8"/>
  <c r="A209" i="8"/>
  <c r="A210" i="8"/>
  <c r="A206" i="8"/>
  <c r="A202" i="8"/>
  <c r="G194" i="8"/>
  <c r="G195" i="8"/>
  <c r="G196" i="8"/>
  <c r="G197" i="8"/>
  <c r="G198" i="8"/>
  <c r="G91" i="8"/>
  <c r="G92" i="8"/>
  <c r="G93" i="8"/>
  <c r="G94" i="8"/>
  <c r="G95" i="8"/>
  <c r="F52" i="8"/>
  <c r="C32" i="8"/>
  <c r="C33" i="8"/>
  <c r="C34" i="8"/>
  <c r="C35" i="8"/>
  <c r="C36" i="8"/>
  <c r="C37" i="8"/>
  <c r="I2" i="8"/>
  <c r="I3" i="8"/>
  <c r="I4" i="8"/>
  <c r="I5" i="8"/>
  <c r="I6" i="8"/>
  <c r="I7" i="8"/>
  <c r="H13" i="8"/>
  <c r="H14" i="8"/>
  <c r="H15" i="8"/>
  <c r="H16" i="8"/>
  <c r="H17" i="8"/>
  <c r="H18" i="8"/>
  <c r="J32" i="5"/>
</calcChain>
</file>

<file path=xl/sharedStrings.xml><?xml version="1.0" encoding="utf-8"?>
<sst xmlns="http://schemas.openxmlformats.org/spreadsheetml/2006/main" count="351" uniqueCount="86">
  <si>
    <t>Total Questions: 30</t>
  </si>
  <si>
    <t>Difficulty Level: Medium</t>
  </si>
  <si>
    <t>Syllabus: Formulas, Logical Functions, Lookups, INDEX-MATCH, Pivot Tables &amp; Charts, Data Analysis</t>
  </si>
  <si>
    <t>Attempt all questions using appropriate Excel tools/functions.</t>
  </si>
  <si>
    <t>Order_ID</t>
  </si>
  <si>
    <t>Region</t>
  </si>
  <si>
    <t>Salesperson</t>
  </si>
  <si>
    <t>Product</t>
  </si>
  <si>
    <t>Quantity</t>
  </si>
  <si>
    <t>Unit_Price</t>
  </si>
  <si>
    <t>Sales_Date</t>
  </si>
  <si>
    <t>North</t>
  </si>
  <si>
    <t>Amit</t>
  </si>
  <si>
    <t>Laptop</t>
  </si>
  <si>
    <t>05-01-2025</t>
  </si>
  <si>
    <t>South</t>
  </si>
  <si>
    <t>Riya</t>
  </si>
  <si>
    <t>Mobile</t>
  </si>
  <si>
    <t>07-01-2025</t>
  </si>
  <si>
    <t>East</t>
  </si>
  <si>
    <t>Kunal</t>
  </si>
  <si>
    <t>Tablet</t>
  </si>
  <si>
    <t>10-01-2025</t>
  </si>
  <si>
    <t>West</t>
  </si>
  <si>
    <t>Neha</t>
  </si>
  <si>
    <t>12-01-2025</t>
  </si>
  <si>
    <t>15-01-2025</t>
  </si>
  <si>
    <t>18-01-2025</t>
  </si>
  <si>
    <t>Category</t>
  </si>
  <si>
    <t>GST_%</t>
  </si>
  <si>
    <t>Electronics</t>
  </si>
  <si>
    <t>Student_ID</t>
  </si>
  <si>
    <t>Name</t>
  </si>
  <si>
    <t>Maths</t>
  </si>
  <si>
    <t>Statistics</t>
  </si>
  <si>
    <t>Excel</t>
  </si>
  <si>
    <t>Attendance_%</t>
  </si>
  <si>
    <t>Rahul</t>
  </si>
  <si>
    <t>Sneha</t>
  </si>
  <si>
    <t>Arjun</t>
  </si>
  <si>
    <t>Pooja</t>
  </si>
  <si>
    <t>Vikas</t>
  </si>
  <si>
    <t>1. Calculate Total Sales for each order (Quantity × Unit_Price).</t>
  </si>
  <si>
    <t>2. Calculate GST Amount using VLOOKUP from Product_Master.</t>
  </si>
  <si>
    <t>3. Find Final Amount payable (Total Sales + GST).</t>
  </si>
  <si>
    <t>4. Find Grand Total of Final Amount.</t>
  </si>
  <si>
    <t>5. Count total number of orders using COUNTA.</t>
  </si>
  <si>
    <t>6. Find Region-wise total sales using SUMIF.</t>
  </si>
  <si>
    <t>7. Use IF to classify Quantity as High (&gt;3) or Low (&lt;=3).</t>
  </si>
  <si>
    <t>8. Find the maximum and minimum Final Amount.</t>
  </si>
  <si>
    <t>9. Extract month name from Sales_Date.</t>
  </si>
  <si>
    <t>10. Sort Sales_Data by Final Amount (Descending).</t>
  </si>
  <si>
    <t>11. Use INDEX-MATCH to fetch Product Category.</t>
  </si>
  <si>
    <t>12. Calculate average marks of each student.</t>
  </si>
  <si>
    <t>13. Find the topper based on average marks.</t>
  </si>
  <si>
    <t>14. Count students with Attendance above 90%.</t>
  </si>
  <si>
    <t>15. Use IF to classify students as Eligible (Attendance &gt;= 85%).</t>
  </si>
  <si>
    <t>16. Create a Pivot Table showing Product-wise Total Sales.</t>
  </si>
  <si>
    <t>17. Create a Pivot Table showing Region-wise Total Sales.</t>
  </si>
  <si>
    <t>18. Insert a Pivot Chart for Product-wise Sales.</t>
  </si>
  <si>
    <t>19. Create a Bar Chart for Student Excel marks.</t>
  </si>
  <si>
    <t>20. Find Median of Statistics marks.</t>
  </si>
  <si>
    <t>21. Find Standard Deviation of Excel marks.</t>
  </si>
  <si>
    <t>22. Use CONCAT to combine Student_ID and Name.</t>
  </si>
  <si>
    <t>23. Use LEFT function to extract first 2 letters of Salesperson name.</t>
  </si>
  <si>
    <t>24. Apply Conditional Formatting to highlight Final Amount &gt; 60000.</t>
  </si>
  <si>
    <t>25. Filter orders where Product is Laptop and Quantity &gt; 1.</t>
  </si>
  <si>
    <t>26. Use COUNTIFS to count Laptop orders in North region.</t>
  </si>
  <si>
    <t>27. Use ROUND to round Unit_Price to nearest thousand.</t>
  </si>
  <si>
    <t>28. Remove duplicate records if present.</t>
  </si>
  <si>
    <t>29. Freeze top row in Sales_Data sheet.</t>
  </si>
  <si>
    <t>30. Protect the Student_Marks sheet.</t>
  </si>
  <si>
    <t>MS Excel Practical Exam</t>
  </si>
  <si>
    <t>Column1</t>
  </si>
  <si>
    <t>Answer</t>
  </si>
  <si>
    <t xml:space="preserve">total sales </t>
  </si>
  <si>
    <t>GST AMT</t>
  </si>
  <si>
    <t xml:space="preserve">Total sales  + GST </t>
  </si>
  <si>
    <t>TOTAL Sales</t>
  </si>
  <si>
    <t>Row Labels</t>
  </si>
  <si>
    <t>Grand Total</t>
  </si>
  <si>
    <t>Sum of TOTAL Sales</t>
  </si>
  <si>
    <t>Sum of Excel</t>
  </si>
  <si>
    <t>answer</t>
  </si>
  <si>
    <t xml:space="preserve">frzeed top row </t>
  </si>
  <si>
    <t xml:space="preserve">password 123 to unportect the sheet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</si>
</sst>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ck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3" xfId="0" applyFont="1" applyFill="1" applyBorder="1"/>
    <xf numFmtId="0" fontId="0" fillId="3" borderId="4" xfId="0" applyFont="1" applyFill="1" applyBorder="1"/>
    <xf numFmtId="0" fontId="0" fillId="4" borderId="3" xfId="0" applyFont="1" applyFill="1" applyBorder="1"/>
    <xf numFmtId="0" fontId="0" fillId="4" borderId="4" xfId="0" applyFont="1" applyFill="1" applyBorder="1"/>
    <xf numFmtId="0" fontId="1" fillId="2" borderId="5" xfId="0" applyFont="1" applyFill="1" applyBorder="1"/>
    <xf numFmtId="0" fontId="0" fillId="3" borderId="6" xfId="0" applyFont="1" applyFill="1" applyBorder="1"/>
    <xf numFmtId="0" fontId="0" fillId="4" borderId="6" xfId="0" applyFont="1" applyFill="1" applyBorder="1"/>
    <xf numFmtId="0" fontId="0" fillId="4" borderId="7" xfId="0" applyFont="1" applyFill="1" applyBorder="1"/>
    <xf numFmtId="0" fontId="0" fillId="5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border outline="0">
        <left style="thin">
          <color theme="0"/>
        </left>
      </border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[Dhruv excel assesment.xlsx]Answers!PivotTable3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WISE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Answers!$B$143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Answers!$A$144:$A$147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Answers!$B$144:$B$147</c:f>
              <c:numCache>
                <c:formatCode>General</c:formatCode>
                <c:ptCount val="3"/>
                <c:pt idx="0">
                  <c:v>225000</c:v>
                </c:pt>
                <c:pt idx="1">
                  <c:v>135000</c:v>
                </c:pt>
                <c:pt idx="2">
                  <c:v>54000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88-4914-BD12-CB48A3434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9094879"/>
        <c:axId val="1239095295"/>
      </c:barChart>
      <c:catAx>
        <c:axId val="1239094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095295"/>
        <c:crosses val="autoZero"/>
        <c:auto val="1"/>
        <c:lblAlgn val="ctr"/>
        <c:lblOffset val="100"/>
        <c:noMultiLvlLbl val="0"/>
      </c:catAx>
      <c:valAx>
        <c:axId val="123909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094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[Dhruv excel assesment.xlsx]Student_Marks!PivotTable6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student marks  for excel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Student_Marks!$B$9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Student_Marks!$A$10:$A$15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Student_Marks!$B$10:$B$15</c:f>
              <c:numCache>
                <c:formatCode>General</c:formatCode>
                <c:ptCount val="5"/>
                <c:pt idx="0">
                  <c:v>85</c:v>
                </c:pt>
                <c:pt idx="1">
                  <c:v>90</c:v>
                </c:pt>
                <c:pt idx="2">
                  <c:v>72</c:v>
                </c:pt>
                <c:pt idx="3">
                  <c:v>94</c:v>
                </c:pt>
                <c:pt idx="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77-4A9B-A3F6-6C02AA8E2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58113935"/>
        <c:axId val="1358112687"/>
      </c:barChart>
      <c:catAx>
        <c:axId val="1358113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112687"/>
        <c:crosses val="autoZero"/>
        <c:auto val="1"/>
        <c:lblAlgn val="ctr"/>
        <c:lblOffset val="100"/>
        <c:noMultiLvlLbl val="0"/>
      </c:catAx>
      <c:valAx>
        <c:axId val="1358112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113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159</xdr:row>
      <xdr:rowOff>147637</xdr:rowOff>
    </xdr:from>
    <xdr:to>
      <xdr:col>2</xdr:col>
      <xdr:colOff>1095375</xdr:colOff>
      <xdr:row>171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653E73-13FC-DE67-4EF5-F7BC8C5374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174</xdr:row>
      <xdr:rowOff>104775</xdr:rowOff>
    </xdr:from>
    <xdr:to>
      <xdr:col>4</xdr:col>
      <xdr:colOff>57150</xdr:colOff>
      <xdr:row>188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BCCE73-3678-45DE-90E8-9AB09D82DE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8" refreshedDate="46132.529556250003" createdVersion="8" refreshedVersion="8" minRefreshableVersion="3" recordCount="6" xr:uid="{1CB59C11-65F0-41FB-A5B3-269ED7D756BA}">
  <cacheSource type="worksheet">
    <worksheetSource name="Table3"/>
  </cacheSource>
  <cacheFields count="9">
    <cacheField name="Order_ID" numFmtId="0">
      <sharedItems containsSemiMixedTypes="0" containsString="0" containsNumber="1" containsInteger="1" minValue="301" maxValue="306"/>
    </cacheField>
    <cacheField name="Region" numFmtId="0">
      <sharedItems count="4">
        <s v="North"/>
        <s v="South"/>
        <s v="East"/>
        <s v="West"/>
      </sharedItems>
    </cacheField>
    <cacheField name="Salesperson" numFmtId="0">
      <sharedItems/>
    </cacheField>
    <cacheField name="Product" numFmtId="0">
      <sharedItems count="3">
        <s v="Laptop"/>
        <s v="Mobile"/>
        <s v="Tablet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containsInteger="1" minValue="15000" maxValue="45000"/>
    </cacheField>
    <cacheField name="Sales_Date" numFmtId="0">
      <sharedItems/>
    </cacheField>
    <cacheField name="TOTAL Sales" numFmtId="0">
      <sharedItems containsSemiMixedTypes="0" containsString="0" containsNumber="1" containsInteger="1" minValue="45000" maxValue="90000" count="5">
        <n v="90000"/>
        <n v="75000"/>
        <n v="54000"/>
        <n v="45000"/>
        <n v="60000"/>
      </sharedItems>
    </cacheField>
    <cacheField name="GST AMT" numFmtId="0">
      <sharedItems containsSemiMixedTypes="0" containsString="0" containsNumber="1" containsInteger="1" minValue="6480" maxValue="16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8" refreshedDate="46132.534559837964" createdVersion="8" refreshedVersion="8" minRefreshableVersion="3" recordCount="5" xr:uid="{050969A9-C12D-418D-A6CA-445B0212D697}">
  <cacheSource type="worksheet">
    <worksheetSource ref="A1:F6" sheet="Student_Marks"/>
  </cacheSource>
  <cacheFields count="6">
    <cacheField name="Student_ID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Name" numFmtId="0">
      <sharedItems/>
    </cacheField>
    <cacheField name="Maths" numFmtId="0">
      <sharedItems containsSemiMixedTypes="0" containsString="0" containsNumber="1" containsInteger="1" minValue="55" maxValue="92"/>
    </cacheField>
    <cacheField name="Statistics" numFmtId="0">
      <sharedItems containsSemiMixedTypes="0" containsString="0" containsNumber="1" containsInteger="1" minValue="60" maxValue="91"/>
    </cacheField>
    <cacheField name="Excel" numFmtId="0">
      <sharedItems containsSemiMixedTypes="0" containsString="0" containsNumber="1" containsInteger="1" minValue="58" maxValue="94"/>
    </cacheField>
    <cacheField name="Attendance_%" numFmtId="0">
      <sharedItems containsSemiMixedTypes="0" containsString="0" containsNumber="1" containsInteger="1" minValue="80" maxValue="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301"/>
    <x v="0"/>
    <s v="Amit"/>
    <x v="0"/>
    <n v="2"/>
    <n v="45000"/>
    <s v="05-01-2025"/>
    <x v="0"/>
    <n v="16200"/>
  </r>
  <r>
    <n v="302"/>
    <x v="1"/>
    <s v="Riya"/>
    <x v="1"/>
    <n v="5"/>
    <n v="15000"/>
    <s v="07-01-2025"/>
    <x v="1"/>
    <n v="9000"/>
  </r>
  <r>
    <n v="303"/>
    <x v="2"/>
    <s v="Kunal"/>
    <x v="2"/>
    <n v="3"/>
    <n v="18000"/>
    <s v="10-01-2025"/>
    <x v="2"/>
    <n v="6480"/>
  </r>
  <r>
    <n v="304"/>
    <x v="3"/>
    <s v="Neha"/>
    <x v="0"/>
    <n v="1"/>
    <n v="45000"/>
    <s v="12-01-2025"/>
    <x v="3"/>
    <n v="8100"/>
  </r>
  <r>
    <n v="305"/>
    <x v="0"/>
    <s v="Amit"/>
    <x v="1"/>
    <n v="4"/>
    <n v="15000"/>
    <s v="15-01-2025"/>
    <x v="4"/>
    <n v="7200"/>
  </r>
  <r>
    <n v="306"/>
    <x v="1"/>
    <s v="Riya"/>
    <x v="0"/>
    <n v="2"/>
    <n v="45000"/>
    <s v="18-01-2025"/>
    <x v="0"/>
    <n v="162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s v="Rahul"/>
    <n v="78"/>
    <n v="82"/>
    <n v="85"/>
    <n v="92"/>
  </r>
  <r>
    <x v="1"/>
    <s v="Sneha"/>
    <n v="88"/>
    <n v="91"/>
    <n v="90"/>
    <n v="96"/>
  </r>
  <r>
    <x v="2"/>
    <s v="Arjun"/>
    <n v="65"/>
    <n v="70"/>
    <n v="72"/>
    <n v="85"/>
  </r>
  <r>
    <x v="3"/>
    <s v="Pooja"/>
    <n v="92"/>
    <n v="89"/>
    <n v="94"/>
    <n v="98"/>
  </r>
  <r>
    <x v="4"/>
    <s v="Vikas"/>
    <n v="55"/>
    <n v="60"/>
    <n v="58"/>
    <n v="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4720E9-72F8-49B9-8C84-E5F69A821035}" name="PivotTable6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9:B15" firstHeaderRow="1" firstDataRow="1" firstDataCol="1"/>
  <pivotFields count="6"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Excel" fld="4" baseField="0" baseItem="0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E5EB3A-3BD8-45BF-A7A0-D01F572F59AA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2:B157" firstHeaderRow="1" firstDataRow="1" firstDataCol="1"/>
  <pivotFields count="9"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E7D221-E65C-4B6B-A6FF-62386F2B5561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43:B147" firstHeaderRow="1" firstDataRow="1" firstDataCol="1"/>
  <pivotFields count="9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7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558955-0364-4FF1-A0FB-4F36DAB90D57}" name="Table3" displayName="Table3" ref="A1:I7" totalsRowShown="0">
  <autoFilter ref="A1:I7" xr:uid="{4E558955-0364-4FF1-A0FB-4F36DAB90D57}"/>
  <tableColumns count="9">
    <tableColumn id="1" xr3:uid="{8F4E695D-5DD5-4C85-9205-A0DC88DC12E4}" name="Order_ID"/>
    <tableColumn id="2" xr3:uid="{6BBDBE77-0E98-454A-832B-A41FE476F31B}" name="Region"/>
    <tableColumn id="3" xr3:uid="{FB2D8593-2C86-409B-9F4F-BCA1BDDE86C2}" name="Salesperson"/>
    <tableColumn id="4" xr3:uid="{37BAA0C2-8244-45CD-8F9C-DF7455D11487}" name="Product"/>
    <tableColumn id="5" xr3:uid="{96144751-909E-41AA-A596-065A7D415649}" name="Quantity"/>
    <tableColumn id="6" xr3:uid="{C6174DCA-1FC6-438D-B884-E2081341FB19}" name="Unit_Price"/>
    <tableColumn id="7" xr3:uid="{39C21A3D-EBE0-4D7F-A1AB-354267139090}" name="Sales_Date"/>
    <tableColumn id="8" xr3:uid="{E0AB9D8E-6242-4B13-8262-1172C86D74CF}" name="TOTAL Sales"/>
    <tableColumn id="9" xr3:uid="{FA749226-6619-44D8-8981-7C7E55EF0DD8}" name="GST AMT" dataDxfId="7">
      <calculatedColumnFormula>H2*VLOOKUP(D2,$A$24:$C$26,3,FALSE)/100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489FACA-1923-4A1A-9136-DDE9A0D3B5A0}" name="Table35" displayName="Table35" ref="A12:H18" totalsRowShown="0">
  <autoFilter ref="A12:H18" xr:uid="{D489FACA-1923-4A1A-9136-DDE9A0D3B5A0}"/>
  <tableColumns count="8">
    <tableColumn id="1" xr3:uid="{99D9C681-DFE1-4128-9AD4-CC7BBCE5343C}" name="Order_ID"/>
    <tableColumn id="2" xr3:uid="{D9CD1DBE-E7EC-4836-ADC1-41FF850E6D24}" name="Region"/>
    <tableColumn id="3" xr3:uid="{9D02A62F-1654-4961-8D33-7AABD6B4315D}" name="Salesperson"/>
    <tableColumn id="4" xr3:uid="{1A4B6719-12D3-420B-807F-11CF374C5090}" name="Product"/>
    <tableColumn id="5" xr3:uid="{851CD75D-F114-4E51-A3E1-063CBDDC9B3D}" name="Quantity"/>
    <tableColumn id="6" xr3:uid="{92CA7E5D-86D4-4707-9421-ECACEE18DC6B}" name="Unit_Price"/>
    <tableColumn id="7" xr3:uid="{F29884FA-3E79-4753-8BF1-B2010D2F40DD}" name="Sales_Date"/>
    <tableColumn id="8" xr3:uid="{DE8AF6D3-A9CC-4B8D-A1EA-E0DB23F8E2C4}" name="total sales " dataDxfId="11">
      <calculatedColumnFormula>Table35[[#This Row],[Quantity]]*Table35[[#This Row],[Unit_Price]]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B2DF8E6-54D2-4C87-A437-95413AEF999A}" name="Table5" displayName="Table5" ref="A23:D26" totalsRowShown="0">
  <autoFilter ref="A23:D26" xr:uid="{BB2DF8E6-54D2-4C87-A437-95413AEF999A}"/>
  <tableColumns count="4">
    <tableColumn id="1" xr3:uid="{C209231F-DC1B-4C40-9D1C-ACCD2634534A}" name="Product"/>
    <tableColumn id="2" xr3:uid="{71E966FA-9F4E-46E9-BB6E-D2E583DA1A2D}" name="Category"/>
    <tableColumn id="3" xr3:uid="{34216660-32A4-4D6F-9AA4-0A91BE2B4B49}" name="GST_%"/>
    <tableColumn id="4" xr3:uid="{DAD68C85-065E-40EF-8F1C-72F14093A7C0}" name="GST AMT" dataDxfId="8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F2ADB3C-20E7-4E0B-AAF4-256A5EDC4089}" name="Table6" displayName="Table6" ref="A31:C37" totalsRowShown="0" tableBorderDxfId="10">
  <autoFilter ref="A31:C37" xr:uid="{6F2ADB3C-20E7-4E0B-AAF4-256A5EDC4089}"/>
  <tableColumns count="3">
    <tableColumn id="1" xr3:uid="{09FA77F4-1DD9-4818-9A66-C16D6A59817B}" name="total sales " dataDxfId="9"/>
    <tableColumn id="2" xr3:uid="{BD5424D8-C556-455C-9FDB-5B2583BA3DCD}" name="GST AMT"/>
    <tableColumn id="3" xr3:uid="{63407A3F-9A1A-435A-A4BD-0FFA4999974E}" name="Total sales  + GST " dataDxfId="6">
      <calculatedColumnFormula>Table6[[#This Row],[total sales ]]+Table6[[#This Row],[GST AMT]]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0E04A69-C8EC-4BDB-8E96-90B71DD72C56}" name="Table7" displayName="Table7" ref="A90:G95" totalsRowShown="0">
  <autoFilter ref="A90:G95" xr:uid="{B0E04A69-C8EC-4BDB-8E96-90B71DD72C56}"/>
  <tableColumns count="7">
    <tableColumn id="1" xr3:uid="{7048523D-9AB9-4DFA-B825-5BEC90D19C59}" name="Student_ID"/>
    <tableColumn id="2" xr3:uid="{9780BFEF-91C4-4A0B-A7D5-25352DE24E57}" name="Name"/>
    <tableColumn id="3" xr3:uid="{3877D6BB-EA33-48ED-8B8A-DD2A2658FF53}" name="Maths"/>
    <tableColumn id="4" xr3:uid="{1B36F904-1CBD-4769-BCBE-5842D32ACB7F}" name="Statistics"/>
    <tableColumn id="5" xr3:uid="{1794EB9F-CF7B-4A19-B2AC-574E0BEAC589}" name="Excel"/>
    <tableColumn id="6" xr3:uid="{044A2434-479F-4542-8567-B1141DC259F2}" name="Attendance_%"/>
    <tableColumn id="7" xr3:uid="{18E658E8-B10A-4F97-9AC5-B34CD8AA7760}" name="Column1" dataDxfId="5">
      <calculatedColumnFormula>AVERAGE(Table7[[#Headers],[Maths]],Table7[[#Headers],[Statistics]],Table7[[#Headers],[Excel]])/100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BC39B61-6167-4B5D-A428-F75D9FFE46EE}" name="Table8" displayName="Table8" ref="A193:G198" totalsRowShown="0">
  <autoFilter ref="A193:G198" xr:uid="{2BC39B61-6167-4B5D-A428-F75D9FFE46EE}"/>
  <tableColumns count="7">
    <tableColumn id="1" xr3:uid="{A0802F2E-595D-42AE-9A5A-CF7E8E1BC76E}" name="Student_ID"/>
    <tableColumn id="2" xr3:uid="{2746DF6B-AD92-4D77-837C-DDD5A7B5497F}" name="Name"/>
    <tableColumn id="3" xr3:uid="{5ACBF3EC-EDCE-4A34-91AD-BE6BBA564692}" name="Maths"/>
    <tableColumn id="4" xr3:uid="{A983EB53-DB0F-4076-9716-81591A87A539}" name="Statistics"/>
    <tableColumn id="5" xr3:uid="{AE02D0AE-49B4-4A15-9CC2-1324A9DB28EC}" name="Excel"/>
    <tableColumn id="6" xr3:uid="{A54FDD61-3DA7-497F-A7F3-684C7B8B04DF}" name="Attendance_%"/>
    <tableColumn id="7" xr3:uid="{89DE6143-EF93-4086-BF6B-38E218263F65}" name="Column1" dataDxfId="4">
      <calculatedColumnFormula>MEDIAN(Table8[Statistics])</calculatedColumnFormula>
    </tableColumn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E7F54D9-3D4A-4B34-AD96-BDAE2FC106F3}" name="Table9" displayName="Table9" ref="A224:H230" totalsRowShown="0">
  <autoFilter ref="A224:H230" xr:uid="{CE7F54D9-3D4A-4B34-AD96-BDAE2FC106F3}"/>
  <tableColumns count="8">
    <tableColumn id="1" xr3:uid="{6DA4EE18-0F94-4182-A91B-D03C0A490F84}" name="Order_ID"/>
    <tableColumn id="2" xr3:uid="{ADD0B0A7-F4AA-4FCB-A6C8-B8565C6E8A72}" name="Region"/>
    <tableColumn id="3" xr3:uid="{2C6C889E-2359-44DC-B9B2-6CC4235D34CB}" name="Salesperson"/>
    <tableColumn id="4" xr3:uid="{1BD686BE-DD01-45FA-B0A4-A0A9AC503D1D}" name="Product"/>
    <tableColumn id="5" xr3:uid="{A6B9EFEF-0E02-4EA7-B45B-A89E9F9AD9D9}" name="Quantity"/>
    <tableColumn id="6" xr3:uid="{E57E9549-1381-4BD1-9DFA-17C2BDAF1B23}" name="Unit_Price"/>
    <tableColumn id="7" xr3:uid="{8E472451-2151-4644-B1DF-12F498574EF2}" name="Sales_Date"/>
    <tableColumn id="8" xr3:uid="{C5C20B14-58E0-42F9-9CB0-C76483815792}" name="TOTAL Sal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151F943-96AC-441E-9C83-B8E416A43C71}" name="Table312" displayName="Table312" ref="A234:I240" totalsRowShown="0">
  <autoFilter ref="A234:I240" xr:uid="{B151F943-96AC-441E-9C83-B8E416A43C71}">
    <filterColumn colId="3">
      <filters>
        <filter val="Laptop"/>
      </filters>
    </filterColumn>
    <filterColumn colId="4">
      <customFilters>
        <customFilter operator="greaterThan" val="1"/>
      </customFilters>
    </filterColumn>
  </autoFilter>
  <tableColumns count="9">
    <tableColumn id="1" xr3:uid="{565FA534-C8D9-4D10-8E41-1A6D18362BE0}" name="Order_ID"/>
    <tableColumn id="2" xr3:uid="{AAC0E6DE-3872-475B-A634-14E369C08C5A}" name="Region"/>
    <tableColumn id="3" xr3:uid="{C7623482-E145-4D5F-89A1-2072CA70C6B9}" name="Salesperson"/>
    <tableColumn id="4" xr3:uid="{A9548077-975B-48F9-9744-A5F067BDE347}" name="Product"/>
    <tableColumn id="5" xr3:uid="{6ABA5EEE-B34E-48AA-8DD7-780C178D21E7}" name="Quantity"/>
    <tableColumn id="6" xr3:uid="{AC7DF587-1EDF-48B6-A899-2EF98A720620}" name="Unit_Price"/>
    <tableColumn id="7" xr3:uid="{FE7DAE34-5467-4608-8891-668AF4376F05}" name="Sales_Date"/>
    <tableColumn id="8" xr3:uid="{11A45E88-6DB2-401D-9514-C561ABD88DC4}" name="TOTAL Sales"/>
    <tableColumn id="9" xr3:uid="{6B124266-082F-4A28-B00A-A26E8FABC374}" name="GST AMT" dataDxfId="0">
      <calculatedColumnFormula>H235*VLOOKUP(D235,$A$24:$C$26,3,FALSE)/100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3" Type="http://schemas.openxmlformats.org/officeDocument/2006/relationships/drawing" Target="../drawings/drawing1.xml"/><Relationship Id="rId7" Type="http://schemas.openxmlformats.org/officeDocument/2006/relationships/table" Target="../tables/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I13" sqref="I13"/>
    </sheetView>
  </sheetViews>
  <sheetFormatPr defaultRowHeight="15" x14ac:dyDescent="0.25"/>
  <sheetData>
    <row r="1" spans="1:1" x14ac:dyDescent="0.25">
      <c r="A1" t="s">
        <v>72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selection sqref="A1:G7"/>
    </sheetView>
  </sheetViews>
  <sheetFormatPr defaultRowHeight="15" x14ac:dyDescent="0.25"/>
  <cols>
    <col min="1" max="1" width="9" bestFit="1" customWidth="1"/>
    <col min="2" max="2" width="7.140625" bestFit="1" customWidth="1"/>
    <col min="3" max="3" width="11.7109375" bestFit="1" customWidth="1"/>
    <col min="5" max="5" width="8.7109375" bestFit="1" customWidth="1"/>
    <col min="6" max="6" width="10.140625" bestFit="1" customWidth="1"/>
    <col min="7" max="7" width="10.7109375" bestFit="1" customWidth="1"/>
  </cols>
  <sheetData>
    <row r="1" spans="1:7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25">
      <c r="A2">
        <v>301</v>
      </c>
      <c r="B2" t="s">
        <v>11</v>
      </c>
      <c r="C2" t="s">
        <v>12</v>
      </c>
      <c r="D2" t="s">
        <v>13</v>
      </c>
      <c r="E2">
        <v>2</v>
      </c>
      <c r="F2">
        <v>45000</v>
      </c>
      <c r="G2" t="s">
        <v>14</v>
      </c>
    </row>
    <row r="3" spans="1:7" x14ac:dyDescent="0.25">
      <c r="A3">
        <v>302</v>
      </c>
      <c r="B3" t="s">
        <v>15</v>
      </c>
      <c r="C3" t="s">
        <v>16</v>
      </c>
      <c r="D3" t="s">
        <v>17</v>
      </c>
      <c r="E3">
        <v>5</v>
      </c>
      <c r="F3">
        <v>15000</v>
      </c>
      <c r="G3" t="s">
        <v>18</v>
      </c>
    </row>
    <row r="4" spans="1:7" x14ac:dyDescent="0.25">
      <c r="A4">
        <v>303</v>
      </c>
      <c r="B4" t="s">
        <v>19</v>
      </c>
      <c r="C4" t="s">
        <v>20</v>
      </c>
      <c r="D4" t="s">
        <v>21</v>
      </c>
      <c r="E4">
        <v>3</v>
      </c>
      <c r="F4">
        <v>18000</v>
      </c>
      <c r="G4" t="s">
        <v>22</v>
      </c>
    </row>
    <row r="5" spans="1:7" x14ac:dyDescent="0.25">
      <c r="A5">
        <v>304</v>
      </c>
      <c r="B5" t="s">
        <v>23</v>
      </c>
      <c r="C5" t="s">
        <v>24</v>
      </c>
      <c r="D5" t="s">
        <v>13</v>
      </c>
      <c r="E5">
        <v>1</v>
      </c>
      <c r="F5">
        <v>45000</v>
      </c>
      <c r="G5" t="s">
        <v>25</v>
      </c>
    </row>
    <row r="6" spans="1:7" x14ac:dyDescent="0.25">
      <c r="A6">
        <v>305</v>
      </c>
      <c r="B6" t="s">
        <v>11</v>
      </c>
      <c r="C6" t="s">
        <v>12</v>
      </c>
      <c r="D6" t="s">
        <v>17</v>
      </c>
      <c r="E6">
        <v>4</v>
      </c>
      <c r="F6">
        <v>15000</v>
      </c>
      <c r="G6" t="s">
        <v>26</v>
      </c>
    </row>
    <row r="7" spans="1:7" x14ac:dyDescent="0.25">
      <c r="A7">
        <v>306</v>
      </c>
      <c r="B7" t="s">
        <v>15</v>
      </c>
      <c r="C7" t="s">
        <v>16</v>
      </c>
      <c r="D7" t="s">
        <v>13</v>
      </c>
      <c r="E7">
        <v>2</v>
      </c>
      <c r="F7">
        <v>45000</v>
      </c>
      <c r="G7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sqref="A1:C4"/>
    </sheetView>
  </sheetViews>
  <sheetFormatPr defaultRowHeight="15" x14ac:dyDescent="0.25"/>
  <sheetData>
    <row r="1" spans="1:3" x14ac:dyDescent="0.25">
      <c r="A1" t="s">
        <v>7</v>
      </c>
      <c r="B1" t="s">
        <v>28</v>
      </c>
      <c r="C1" t="s">
        <v>29</v>
      </c>
    </row>
    <row r="2" spans="1:3" x14ac:dyDescent="0.25">
      <c r="A2" t="s">
        <v>13</v>
      </c>
      <c r="B2" t="s">
        <v>30</v>
      </c>
      <c r="C2">
        <v>18</v>
      </c>
    </row>
    <row r="3" spans="1:3" x14ac:dyDescent="0.25">
      <c r="A3" t="s">
        <v>17</v>
      </c>
      <c r="B3" t="s">
        <v>30</v>
      </c>
      <c r="C3">
        <v>12</v>
      </c>
    </row>
    <row r="4" spans="1:3" x14ac:dyDescent="0.25">
      <c r="A4" t="s">
        <v>21</v>
      </c>
      <c r="B4" t="s">
        <v>30</v>
      </c>
      <c r="C4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workbookViewId="0">
      <selection activeCell="E20" sqref="E20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1" spans="1:6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25">
      <c r="A2">
        <v>1</v>
      </c>
      <c r="B2" t="s">
        <v>37</v>
      </c>
      <c r="C2">
        <v>78</v>
      </c>
      <c r="D2">
        <v>82</v>
      </c>
      <c r="E2">
        <v>85</v>
      </c>
      <c r="F2">
        <v>92</v>
      </c>
    </row>
    <row r="3" spans="1:6" x14ac:dyDescent="0.25">
      <c r="A3">
        <v>2</v>
      </c>
      <c r="B3" t="s">
        <v>38</v>
      </c>
      <c r="C3">
        <v>88</v>
      </c>
      <c r="D3">
        <v>91</v>
      </c>
      <c r="E3">
        <v>90</v>
      </c>
      <c r="F3">
        <v>96</v>
      </c>
    </row>
    <row r="4" spans="1:6" x14ac:dyDescent="0.25">
      <c r="A4">
        <v>3</v>
      </c>
      <c r="B4" t="s">
        <v>39</v>
      </c>
      <c r="C4">
        <v>65</v>
      </c>
      <c r="D4">
        <v>70</v>
      </c>
      <c r="E4">
        <v>72</v>
      </c>
      <c r="F4">
        <v>85</v>
      </c>
    </row>
    <row r="5" spans="1:6" x14ac:dyDescent="0.25">
      <c r="A5">
        <v>4</v>
      </c>
      <c r="B5" t="s">
        <v>40</v>
      </c>
      <c r="C5">
        <v>92</v>
      </c>
      <c r="D5">
        <v>89</v>
      </c>
      <c r="E5">
        <v>94</v>
      </c>
      <c r="F5">
        <v>98</v>
      </c>
    </row>
    <row r="6" spans="1:6" x14ac:dyDescent="0.25">
      <c r="A6">
        <v>5</v>
      </c>
      <c r="B6" t="s">
        <v>41</v>
      </c>
      <c r="C6">
        <v>55</v>
      </c>
      <c r="D6">
        <v>60</v>
      </c>
      <c r="E6">
        <v>58</v>
      </c>
      <c r="F6">
        <v>80</v>
      </c>
    </row>
    <row r="9" spans="1:6" x14ac:dyDescent="0.25">
      <c r="A9" s="13" t="s">
        <v>79</v>
      </c>
      <c r="B9" t="s">
        <v>82</v>
      </c>
    </row>
    <row r="10" spans="1:6" x14ac:dyDescent="0.25">
      <c r="A10" s="14">
        <v>1</v>
      </c>
      <c r="B10" s="15">
        <v>85</v>
      </c>
    </row>
    <row r="11" spans="1:6" x14ac:dyDescent="0.25">
      <c r="A11" s="14">
        <v>2</v>
      </c>
      <c r="B11" s="15">
        <v>90</v>
      </c>
    </row>
    <row r="12" spans="1:6" x14ac:dyDescent="0.25">
      <c r="A12" s="14">
        <v>3</v>
      </c>
      <c r="B12" s="15">
        <v>72</v>
      </c>
    </row>
    <row r="13" spans="1:6" x14ac:dyDescent="0.25">
      <c r="A13" s="14">
        <v>4</v>
      </c>
      <c r="B13" s="15">
        <v>94</v>
      </c>
    </row>
    <row r="14" spans="1:6" x14ac:dyDescent="0.25">
      <c r="A14" s="14">
        <v>5</v>
      </c>
      <c r="B14" s="15">
        <v>58</v>
      </c>
    </row>
    <row r="15" spans="1:6" x14ac:dyDescent="0.25">
      <c r="A15" s="14" t="s">
        <v>80</v>
      </c>
      <c r="B15" s="15">
        <v>399</v>
      </c>
    </row>
  </sheetData>
  <sheetProtection algorithmName="SHA-512" hashValue="YMiti3TSw/UHmKNgcpohgYCePSwf3Ed/5tEMK1aSLIosLCoBMKYOX8ScqIMkQCuYnpa88nLHYGuB0AcgKreezw==" saltValue="zmT4kD92LAcjuPveDvB9NA==" spinCount="100000" sheet="1" objects="1" scenarios="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2"/>
  <sheetViews>
    <sheetView workbookViewId="0">
      <selection activeCell="A26" sqref="A26:F26"/>
    </sheetView>
  </sheetViews>
  <sheetFormatPr defaultRowHeight="15" x14ac:dyDescent="0.25"/>
  <sheetData>
    <row r="1" spans="1:10" x14ac:dyDescent="0.25">
      <c r="A1" s="1" t="s">
        <v>42</v>
      </c>
      <c r="B1" s="1"/>
      <c r="C1" s="1"/>
      <c r="D1" s="1"/>
      <c r="E1" s="1"/>
      <c r="F1" s="1"/>
      <c r="J1">
        <v>2</v>
      </c>
    </row>
    <row r="2" spans="1:10" x14ac:dyDescent="0.25">
      <c r="A2" s="1" t="s">
        <v>43</v>
      </c>
      <c r="B2" s="1"/>
      <c r="C2" s="1"/>
      <c r="D2" s="1"/>
      <c r="E2" s="1"/>
      <c r="F2" s="1"/>
      <c r="J2">
        <v>2</v>
      </c>
    </row>
    <row r="3" spans="1:10" x14ac:dyDescent="0.25">
      <c r="A3" s="1" t="s">
        <v>44</v>
      </c>
      <c r="B3" s="1"/>
      <c r="C3" s="1"/>
      <c r="D3" s="1"/>
      <c r="E3" s="1"/>
      <c r="J3">
        <v>2</v>
      </c>
    </row>
    <row r="4" spans="1:10" x14ac:dyDescent="0.25">
      <c r="A4" s="1" t="s">
        <v>45</v>
      </c>
      <c r="B4" s="1"/>
      <c r="C4" s="1"/>
      <c r="D4" s="1"/>
      <c r="J4">
        <v>2</v>
      </c>
    </row>
    <row r="5" spans="1:10" x14ac:dyDescent="0.25">
      <c r="A5" t="s">
        <v>46</v>
      </c>
      <c r="J5">
        <v>2</v>
      </c>
    </row>
    <row r="6" spans="1:10" x14ac:dyDescent="0.25">
      <c r="A6" t="s">
        <v>47</v>
      </c>
      <c r="J6">
        <v>2</v>
      </c>
    </row>
    <row r="7" spans="1:10" x14ac:dyDescent="0.25">
      <c r="A7" s="1" t="s">
        <v>48</v>
      </c>
      <c r="B7" s="1"/>
      <c r="C7" s="1"/>
      <c r="D7" s="1"/>
      <c r="J7">
        <v>2</v>
      </c>
    </row>
    <row r="8" spans="1:10" x14ac:dyDescent="0.25">
      <c r="A8" t="s">
        <v>49</v>
      </c>
      <c r="J8">
        <v>2</v>
      </c>
    </row>
    <row r="9" spans="1:10" x14ac:dyDescent="0.25">
      <c r="A9" t="s">
        <v>50</v>
      </c>
      <c r="J9">
        <v>2</v>
      </c>
    </row>
    <row r="10" spans="1:10" x14ac:dyDescent="0.25">
      <c r="A10" t="s">
        <v>51</v>
      </c>
      <c r="J10">
        <v>2</v>
      </c>
    </row>
    <row r="11" spans="1:10" x14ac:dyDescent="0.25">
      <c r="A11" t="s">
        <v>52</v>
      </c>
      <c r="J11">
        <v>2</v>
      </c>
    </row>
    <row r="12" spans="1:10" x14ac:dyDescent="0.25">
      <c r="A12" t="s">
        <v>53</v>
      </c>
      <c r="J12">
        <v>2</v>
      </c>
    </row>
    <row r="13" spans="1:10" x14ac:dyDescent="0.25">
      <c r="A13" t="s">
        <v>54</v>
      </c>
      <c r="J13">
        <v>2</v>
      </c>
    </row>
    <row r="14" spans="1:10" x14ac:dyDescent="0.25">
      <c r="A14" t="s">
        <v>55</v>
      </c>
      <c r="J14">
        <v>2</v>
      </c>
    </row>
    <row r="15" spans="1:10" x14ac:dyDescent="0.25">
      <c r="A15" t="s">
        <v>56</v>
      </c>
      <c r="J15">
        <v>2</v>
      </c>
    </row>
    <row r="16" spans="1:10" x14ac:dyDescent="0.25">
      <c r="A16" t="s">
        <v>57</v>
      </c>
      <c r="J16">
        <v>2</v>
      </c>
    </row>
    <row r="17" spans="1:10" x14ac:dyDescent="0.25">
      <c r="A17" t="s">
        <v>58</v>
      </c>
      <c r="J17">
        <v>2</v>
      </c>
    </row>
    <row r="18" spans="1:10" x14ac:dyDescent="0.25">
      <c r="A18" t="s">
        <v>59</v>
      </c>
      <c r="J18">
        <v>2</v>
      </c>
    </row>
    <row r="19" spans="1:10" x14ac:dyDescent="0.25">
      <c r="A19" t="s">
        <v>60</v>
      </c>
      <c r="J19">
        <v>2</v>
      </c>
    </row>
    <row r="20" spans="1:10" x14ac:dyDescent="0.25">
      <c r="A20" t="s">
        <v>61</v>
      </c>
      <c r="J20">
        <v>2</v>
      </c>
    </row>
    <row r="21" spans="1:10" x14ac:dyDescent="0.25">
      <c r="A21" t="s">
        <v>62</v>
      </c>
      <c r="J21">
        <v>2</v>
      </c>
    </row>
    <row r="22" spans="1:10" x14ac:dyDescent="0.25">
      <c r="A22" t="s">
        <v>63</v>
      </c>
      <c r="J22">
        <v>2</v>
      </c>
    </row>
    <row r="23" spans="1:10" x14ac:dyDescent="0.25">
      <c r="A23" t="s">
        <v>64</v>
      </c>
      <c r="J23">
        <v>2</v>
      </c>
    </row>
    <row r="24" spans="1:10" x14ac:dyDescent="0.25">
      <c r="A24" t="s">
        <v>65</v>
      </c>
      <c r="J24">
        <v>2</v>
      </c>
    </row>
    <row r="25" spans="1:10" x14ac:dyDescent="0.25">
      <c r="A25" t="s">
        <v>66</v>
      </c>
      <c r="J25">
        <v>2</v>
      </c>
    </row>
    <row r="26" spans="1:10" x14ac:dyDescent="0.25">
      <c r="A26" t="s">
        <v>67</v>
      </c>
      <c r="J26">
        <v>2</v>
      </c>
    </row>
    <row r="27" spans="1:10" x14ac:dyDescent="0.25">
      <c r="A27" t="s">
        <v>68</v>
      </c>
      <c r="J27">
        <v>2</v>
      </c>
    </row>
    <row r="28" spans="1:10" x14ac:dyDescent="0.25">
      <c r="A28" t="s">
        <v>69</v>
      </c>
      <c r="J28">
        <v>2</v>
      </c>
    </row>
    <row r="29" spans="1:10" x14ac:dyDescent="0.25">
      <c r="A29" t="s">
        <v>70</v>
      </c>
      <c r="J29">
        <v>2</v>
      </c>
    </row>
    <row r="30" spans="1:10" x14ac:dyDescent="0.25">
      <c r="A30" t="s">
        <v>71</v>
      </c>
      <c r="J30">
        <v>2</v>
      </c>
    </row>
    <row r="32" spans="1:10" x14ac:dyDescent="0.25">
      <c r="J32">
        <f>SUM(J1:J30)</f>
        <v>60</v>
      </c>
    </row>
  </sheetData>
  <mergeCells count="5">
    <mergeCell ref="A1:F1"/>
    <mergeCell ref="A2:F2"/>
    <mergeCell ref="A3:E3"/>
    <mergeCell ref="A4:D4"/>
    <mergeCell ref="A7:D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A1E85-F2C7-4963-BE58-0A010C28762C}">
  <dimension ref="A1:I266"/>
  <sheetViews>
    <sheetView tabSelected="1" workbookViewId="0">
      <pane ySplit="1" topLeftCell="A2" activePane="bottomLeft" state="frozen"/>
      <selection pane="bottomLeft" activeCell="A244" sqref="A244"/>
    </sheetView>
  </sheetViews>
  <sheetFormatPr defaultRowHeight="15" x14ac:dyDescent="0.25"/>
  <cols>
    <col min="1" max="1" width="13.140625" bestFit="1" customWidth="1"/>
    <col min="2" max="2" width="18.42578125" bestFit="1" customWidth="1"/>
    <col min="3" max="3" width="17.7109375" customWidth="1"/>
    <col min="4" max="4" width="11.140625" customWidth="1"/>
    <col min="5" max="5" width="10.85546875" customWidth="1"/>
    <col min="6" max="6" width="16" customWidth="1"/>
    <col min="7" max="7" width="12.85546875" customWidth="1"/>
    <col min="8" max="8" width="13.7109375" customWidth="1"/>
    <col min="9" max="9" width="13.140625" customWidth="1"/>
  </cols>
  <sheetData>
    <row r="1" spans="1:9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78</v>
      </c>
      <c r="I1" t="s">
        <v>76</v>
      </c>
    </row>
    <row r="2" spans="1:9" x14ac:dyDescent="0.25">
      <c r="A2">
        <v>301</v>
      </c>
      <c r="B2" t="s">
        <v>11</v>
      </c>
      <c r="C2" t="s">
        <v>12</v>
      </c>
      <c r="D2" t="s">
        <v>13</v>
      </c>
      <c r="E2">
        <v>2</v>
      </c>
      <c r="F2">
        <v>45000</v>
      </c>
      <c r="G2" t="s">
        <v>14</v>
      </c>
      <c r="H2">
        <v>90000</v>
      </c>
      <c r="I2">
        <f t="shared" ref="I2:I7" si="0">H2*VLOOKUP(D2,$A$24:$C$26,3,FALSE)/100</f>
        <v>16200</v>
      </c>
    </row>
    <row r="3" spans="1:9" x14ac:dyDescent="0.25">
      <c r="A3">
        <v>302</v>
      </c>
      <c r="B3" t="s">
        <v>15</v>
      </c>
      <c r="C3" t="s">
        <v>16</v>
      </c>
      <c r="D3" t="s">
        <v>17</v>
      </c>
      <c r="E3">
        <v>5</v>
      </c>
      <c r="F3">
        <v>15000</v>
      </c>
      <c r="G3" t="s">
        <v>18</v>
      </c>
      <c r="H3">
        <v>75000</v>
      </c>
      <c r="I3">
        <f t="shared" si="0"/>
        <v>9000</v>
      </c>
    </row>
    <row r="4" spans="1:9" x14ac:dyDescent="0.25">
      <c r="A4">
        <v>303</v>
      </c>
      <c r="B4" t="s">
        <v>19</v>
      </c>
      <c r="C4" t="s">
        <v>20</v>
      </c>
      <c r="D4" t="s">
        <v>21</v>
      </c>
      <c r="E4">
        <v>3</v>
      </c>
      <c r="F4">
        <v>18000</v>
      </c>
      <c r="G4" t="s">
        <v>22</v>
      </c>
      <c r="H4">
        <v>54000</v>
      </c>
      <c r="I4">
        <f t="shared" si="0"/>
        <v>6480</v>
      </c>
    </row>
    <row r="5" spans="1:9" x14ac:dyDescent="0.25">
      <c r="A5">
        <v>304</v>
      </c>
      <c r="B5" t="s">
        <v>23</v>
      </c>
      <c r="C5" t="s">
        <v>24</v>
      </c>
      <c r="D5" t="s">
        <v>13</v>
      </c>
      <c r="E5">
        <v>1</v>
      </c>
      <c r="F5">
        <v>45000</v>
      </c>
      <c r="G5" t="s">
        <v>25</v>
      </c>
      <c r="H5">
        <v>45000</v>
      </c>
      <c r="I5">
        <f t="shared" si="0"/>
        <v>8100</v>
      </c>
    </row>
    <row r="6" spans="1:9" x14ac:dyDescent="0.25">
      <c r="A6">
        <v>305</v>
      </c>
      <c r="B6" t="s">
        <v>11</v>
      </c>
      <c r="C6" t="s">
        <v>12</v>
      </c>
      <c r="D6" t="s">
        <v>17</v>
      </c>
      <c r="E6">
        <v>4</v>
      </c>
      <c r="F6">
        <v>15000</v>
      </c>
      <c r="G6" t="s">
        <v>26</v>
      </c>
      <c r="H6">
        <v>60000</v>
      </c>
      <c r="I6">
        <f t="shared" si="0"/>
        <v>7200</v>
      </c>
    </row>
    <row r="7" spans="1:9" x14ac:dyDescent="0.25">
      <c r="A7">
        <v>306</v>
      </c>
      <c r="B7" t="s">
        <v>15</v>
      </c>
      <c r="C7" t="s">
        <v>16</v>
      </c>
      <c r="D7" t="s">
        <v>13</v>
      </c>
      <c r="E7">
        <v>2</v>
      </c>
      <c r="F7">
        <v>45000</v>
      </c>
      <c r="G7" t="s">
        <v>27</v>
      </c>
      <c r="H7">
        <v>90000</v>
      </c>
      <c r="I7">
        <f t="shared" si="0"/>
        <v>16200</v>
      </c>
    </row>
    <row r="10" spans="1:9" x14ac:dyDescent="0.25">
      <c r="A10" s="1" t="s">
        <v>42</v>
      </c>
      <c r="B10" s="1"/>
      <c r="C10" s="1"/>
      <c r="D10" s="1"/>
      <c r="E10" s="1"/>
      <c r="F10" s="1"/>
    </row>
    <row r="12" spans="1:9" x14ac:dyDescent="0.25">
      <c r="A12" t="s">
        <v>4</v>
      </c>
      <c r="B12" t="s">
        <v>5</v>
      </c>
      <c r="C12" t="s">
        <v>6</v>
      </c>
      <c r="D12" t="s">
        <v>7</v>
      </c>
      <c r="E12" t="s">
        <v>8</v>
      </c>
      <c r="F12" t="s">
        <v>9</v>
      </c>
      <c r="G12" t="s">
        <v>10</v>
      </c>
      <c r="H12" t="s">
        <v>75</v>
      </c>
    </row>
    <row r="13" spans="1:9" x14ac:dyDescent="0.25">
      <c r="A13">
        <v>301</v>
      </c>
      <c r="B13" t="s">
        <v>11</v>
      </c>
      <c r="C13" t="s">
        <v>12</v>
      </c>
      <c r="D13" t="s">
        <v>13</v>
      </c>
      <c r="E13">
        <v>2</v>
      </c>
      <c r="F13">
        <v>45000</v>
      </c>
      <c r="G13" t="s">
        <v>14</v>
      </c>
      <c r="H13">
        <f>Table35[[#This Row],[Quantity]]*Table35[[#This Row],[Unit_Price]]</f>
        <v>90000</v>
      </c>
    </row>
    <row r="14" spans="1:9" x14ac:dyDescent="0.25">
      <c r="A14">
        <v>302</v>
      </c>
      <c r="B14" t="s">
        <v>15</v>
      </c>
      <c r="C14" t="s">
        <v>16</v>
      </c>
      <c r="D14" t="s">
        <v>17</v>
      </c>
      <c r="E14">
        <v>5</v>
      </c>
      <c r="F14">
        <v>15000</v>
      </c>
      <c r="G14" t="s">
        <v>18</v>
      </c>
      <c r="H14">
        <f>Table35[[#This Row],[Quantity]]*Table35[[#This Row],[Unit_Price]]</f>
        <v>75000</v>
      </c>
    </row>
    <row r="15" spans="1:9" x14ac:dyDescent="0.25">
      <c r="A15">
        <v>303</v>
      </c>
      <c r="B15" t="s">
        <v>19</v>
      </c>
      <c r="C15" t="s">
        <v>20</v>
      </c>
      <c r="D15" t="s">
        <v>21</v>
      </c>
      <c r="E15">
        <v>3</v>
      </c>
      <c r="F15">
        <v>18000</v>
      </c>
      <c r="G15" t="s">
        <v>22</v>
      </c>
      <c r="H15">
        <f>Table35[[#This Row],[Quantity]]*Table35[[#This Row],[Unit_Price]]</f>
        <v>54000</v>
      </c>
    </row>
    <row r="16" spans="1:9" x14ac:dyDescent="0.25">
      <c r="A16">
        <v>304</v>
      </c>
      <c r="B16" t="s">
        <v>23</v>
      </c>
      <c r="C16" t="s">
        <v>24</v>
      </c>
      <c r="D16" t="s">
        <v>13</v>
      </c>
      <c r="E16">
        <v>1</v>
      </c>
      <c r="F16">
        <v>45000</v>
      </c>
      <c r="G16" t="s">
        <v>25</v>
      </c>
      <c r="H16">
        <f>Table35[[#This Row],[Quantity]]*Table35[[#This Row],[Unit_Price]]</f>
        <v>45000</v>
      </c>
    </row>
    <row r="17" spans="1:8" x14ac:dyDescent="0.25">
      <c r="A17">
        <v>305</v>
      </c>
      <c r="B17" t="s">
        <v>11</v>
      </c>
      <c r="C17" t="s">
        <v>12</v>
      </c>
      <c r="D17" t="s">
        <v>17</v>
      </c>
      <c r="E17">
        <v>4</v>
      </c>
      <c r="F17">
        <v>15000</v>
      </c>
      <c r="G17" t="s">
        <v>26</v>
      </c>
      <c r="H17">
        <f>Table35[[#This Row],[Quantity]]*Table35[[#This Row],[Unit_Price]]</f>
        <v>60000</v>
      </c>
    </row>
    <row r="18" spans="1:8" x14ac:dyDescent="0.25">
      <c r="A18">
        <v>306</v>
      </c>
      <c r="B18" t="s">
        <v>15</v>
      </c>
      <c r="C18" t="s">
        <v>16</v>
      </c>
      <c r="D18" t="s">
        <v>13</v>
      </c>
      <c r="E18">
        <v>2</v>
      </c>
      <c r="F18">
        <v>45000</v>
      </c>
      <c r="G18" t="s">
        <v>27</v>
      </c>
      <c r="H18">
        <f>Table35[[#This Row],[Quantity]]*Table35[[#This Row],[Unit_Price]]</f>
        <v>90000</v>
      </c>
    </row>
    <row r="21" spans="1:8" x14ac:dyDescent="0.25">
      <c r="A21" s="1" t="s">
        <v>43</v>
      </c>
      <c r="B21" s="1"/>
      <c r="C21" s="1"/>
      <c r="D21" s="1"/>
      <c r="E21" s="1"/>
      <c r="F21" s="1"/>
    </row>
    <row r="23" spans="1:8" x14ac:dyDescent="0.25">
      <c r="A23" t="s">
        <v>7</v>
      </c>
      <c r="B23" t="s">
        <v>28</v>
      </c>
      <c r="C23" t="s">
        <v>29</v>
      </c>
      <c r="D23" t="s">
        <v>76</v>
      </c>
    </row>
    <row r="24" spans="1:8" x14ac:dyDescent="0.25">
      <c r="A24" t="s">
        <v>13</v>
      </c>
      <c r="B24" t="s">
        <v>30</v>
      </c>
      <c r="C24">
        <v>18</v>
      </c>
    </row>
    <row r="25" spans="1:8" x14ac:dyDescent="0.25">
      <c r="A25" t="s">
        <v>17</v>
      </c>
      <c r="B25" t="s">
        <v>30</v>
      </c>
      <c r="C25">
        <v>12</v>
      </c>
    </row>
    <row r="26" spans="1:8" x14ac:dyDescent="0.25">
      <c r="A26" t="s">
        <v>21</v>
      </c>
      <c r="B26" t="s">
        <v>30</v>
      </c>
      <c r="C26">
        <v>12</v>
      </c>
    </row>
    <row r="29" spans="1:8" x14ac:dyDescent="0.25">
      <c r="A29" s="1" t="s">
        <v>44</v>
      </c>
      <c r="B29" s="1"/>
      <c r="C29" s="1"/>
      <c r="D29" s="1"/>
      <c r="E29" s="1"/>
    </row>
    <row r="31" spans="1:8" ht="15.75" thickBot="1" x14ac:dyDescent="0.3">
      <c r="A31" s="8" t="s">
        <v>75</v>
      </c>
      <c r="B31" t="s">
        <v>76</v>
      </c>
      <c r="C31" t="s">
        <v>77</v>
      </c>
    </row>
    <row r="32" spans="1:8" ht="15.75" thickTop="1" x14ac:dyDescent="0.25">
      <c r="A32" s="9">
        <v>90000</v>
      </c>
      <c r="B32">
        <v>16200</v>
      </c>
      <c r="C32">
        <f>Table6[[#This Row],[total sales ]]+Table6[[#This Row],[GST AMT]]</f>
        <v>106200</v>
      </c>
    </row>
    <row r="33" spans="1:4" x14ac:dyDescent="0.25">
      <c r="A33" s="10">
        <v>75000</v>
      </c>
      <c r="B33">
        <v>9000</v>
      </c>
      <c r="C33">
        <f>Table6[[#This Row],[total sales ]]+Table6[[#This Row],[GST AMT]]</f>
        <v>84000</v>
      </c>
    </row>
    <row r="34" spans="1:4" x14ac:dyDescent="0.25">
      <c r="A34" s="9">
        <v>54000</v>
      </c>
      <c r="B34">
        <v>6480</v>
      </c>
      <c r="C34">
        <f>Table6[[#This Row],[total sales ]]+Table6[[#This Row],[GST AMT]]</f>
        <v>60480</v>
      </c>
    </row>
    <row r="35" spans="1:4" x14ac:dyDescent="0.25">
      <c r="A35" s="10">
        <v>45000</v>
      </c>
      <c r="B35">
        <v>8100</v>
      </c>
      <c r="C35">
        <f>Table6[[#This Row],[total sales ]]+Table6[[#This Row],[GST AMT]]</f>
        <v>53100</v>
      </c>
    </row>
    <row r="36" spans="1:4" x14ac:dyDescent="0.25">
      <c r="A36" s="9">
        <v>60000</v>
      </c>
      <c r="B36">
        <v>7200</v>
      </c>
      <c r="C36">
        <f>Table6[[#This Row],[total sales ]]+Table6[[#This Row],[GST AMT]]</f>
        <v>67200</v>
      </c>
    </row>
    <row r="37" spans="1:4" x14ac:dyDescent="0.25">
      <c r="A37" s="11">
        <v>90000</v>
      </c>
      <c r="B37">
        <v>16200</v>
      </c>
      <c r="C37">
        <f>Table6[[#This Row],[total sales ]]+Table6[[#This Row],[GST AMT]]</f>
        <v>106200</v>
      </c>
    </row>
    <row r="39" spans="1:4" x14ac:dyDescent="0.25">
      <c r="A39" s="1" t="s">
        <v>45</v>
      </c>
      <c r="B39" s="1"/>
      <c r="C39" s="1"/>
      <c r="D39" s="1"/>
    </row>
    <row r="52" spans="1:6" x14ac:dyDescent="0.25">
      <c r="A52" s="1" t="s">
        <v>46</v>
      </c>
      <c r="B52" s="1"/>
      <c r="C52" s="1"/>
      <c r="D52" s="1"/>
      <c r="E52" s="1"/>
      <c r="F52" s="12">
        <f>COUNTA(Table3[Order_ID])</f>
        <v>6</v>
      </c>
    </row>
    <row r="54" spans="1:6" x14ac:dyDescent="0.25">
      <c r="A54" s="1" t="s">
        <v>47</v>
      </c>
      <c r="B54" s="1"/>
      <c r="C54" s="1"/>
      <c r="D54" s="1"/>
      <c r="E54" s="1"/>
    </row>
    <row r="60" spans="1:6" x14ac:dyDescent="0.25">
      <c r="A60" s="1" t="s">
        <v>48</v>
      </c>
      <c r="B60" s="1"/>
      <c r="C60" s="1"/>
      <c r="D60" s="1"/>
    </row>
    <row r="89" spans="1:7" x14ac:dyDescent="0.25">
      <c r="A89" t="s">
        <v>53</v>
      </c>
    </row>
    <row r="90" spans="1:7" x14ac:dyDescent="0.25">
      <c r="A90" t="s">
        <v>31</v>
      </c>
      <c r="B90" t="s">
        <v>32</v>
      </c>
      <c r="C90" t="s">
        <v>33</v>
      </c>
      <c r="D90" t="s">
        <v>34</v>
      </c>
      <c r="E90" t="s">
        <v>35</v>
      </c>
      <c r="F90" t="s">
        <v>36</v>
      </c>
      <c r="G90" t="s">
        <v>73</v>
      </c>
    </row>
    <row r="91" spans="1:7" x14ac:dyDescent="0.25">
      <c r="A91">
        <v>1</v>
      </c>
      <c r="B91" t="s">
        <v>37</v>
      </c>
      <c r="C91">
        <v>78</v>
      </c>
      <c r="D91">
        <v>82</v>
      </c>
      <c r="E91">
        <v>85</v>
      </c>
      <c r="F91">
        <v>92</v>
      </c>
      <c r="G91" t="e">
        <f>AVERAGE(Table7[[#Headers],[Maths]],Table7[[#Headers],[Statistics]],Table7[[#Headers],[Excel]])/100</f>
        <v>#DIV/0!</v>
      </c>
    </row>
    <row r="92" spans="1:7" x14ac:dyDescent="0.25">
      <c r="A92">
        <v>2</v>
      </c>
      <c r="B92" t="s">
        <v>38</v>
      </c>
      <c r="C92">
        <v>88</v>
      </c>
      <c r="D92">
        <v>91</v>
      </c>
      <c r="E92">
        <v>90</v>
      </c>
      <c r="F92">
        <v>96</v>
      </c>
      <c r="G92" t="e">
        <f>AVERAGE(Table7[[#Headers],[Maths]],Table7[[#Headers],[Statistics]],Table7[[#Headers],[Excel]])/100</f>
        <v>#DIV/0!</v>
      </c>
    </row>
    <row r="93" spans="1:7" x14ac:dyDescent="0.25">
      <c r="A93">
        <v>3</v>
      </c>
      <c r="B93" t="s">
        <v>39</v>
      </c>
      <c r="C93">
        <v>65</v>
      </c>
      <c r="D93">
        <v>70</v>
      </c>
      <c r="E93">
        <v>72</v>
      </c>
      <c r="F93">
        <v>85</v>
      </c>
      <c r="G93" t="e">
        <f>AVERAGE(Table7[[#Headers],[Maths]],Table7[[#Headers],[Statistics]],Table7[[#Headers],[Excel]])/100</f>
        <v>#DIV/0!</v>
      </c>
    </row>
    <row r="94" spans="1:7" x14ac:dyDescent="0.25">
      <c r="A94">
        <v>4</v>
      </c>
      <c r="B94" t="s">
        <v>40</v>
      </c>
      <c r="C94">
        <v>92</v>
      </c>
      <c r="D94">
        <v>89</v>
      </c>
      <c r="E94">
        <v>94</v>
      </c>
      <c r="F94">
        <v>98</v>
      </c>
      <c r="G94" t="e">
        <f>AVERAGE(Table7[[#Headers],[Maths]],Table7[[#Headers],[Statistics]],Table7[[#Headers],[Excel]])/100</f>
        <v>#DIV/0!</v>
      </c>
    </row>
    <row r="95" spans="1:7" x14ac:dyDescent="0.25">
      <c r="A95">
        <v>5</v>
      </c>
      <c r="B95" t="s">
        <v>41</v>
      </c>
      <c r="C95">
        <v>55</v>
      </c>
      <c r="D95">
        <v>60</v>
      </c>
      <c r="E95">
        <v>58</v>
      </c>
      <c r="F95">
        <v>80</v>
      </c>
      <c r="G95" t="e">
        <f>AVERAGE(Table7[[#Headers],[Maths]],Table7[[#Headers],[Statistics]],Table7[[#Headers],[Excel]])/100</f>
        <v>#DIV/0!</v>
      </c>
    </row>
    <row r="98" spans="1:5" x14ac:dyDescent="0.25">
      <c r="A98" s="1" t="s">
        <v>54</v>
      </c>
      <c r="B98" s="1"/>
      <c r="C98" s="1"/>
      <c r="D98" s="1"/>
      <c r="E98" s="1"/>
    </row>
    <row r="107" spans="1:5" x14ac:dyDescent="0.25">
      <c r="A107" t="s">
        <v>55</v>
      </c>
    </row>
    <row r="141" spans="1:4" x14ac:dyDescent="0.25">
      <c r="A141" s="1" t="s">
        <v>57</v>
      </c>
      <c r="B141" s="1"/>
      <c r="C141" s="1"/>
      <c r="D141" s="1"/>
    </row>
    <row r="143" spans="1:4" x14ac:dyDescent="0.25">
      <c r="A143" s="13" t="s">
        <v>79</v>
      </c>
      <c r="B143" t="s">
        <v>81</v>
      </c>
    </row>
    <row r="144" spans="1:4" x14ac:dyDescent="0.25">
      <c r="A144" s="14" t="s">
        <v>13</v>
      </c>
      <c r="B144" s="15">
        <v>225000</v>
      </c>
    </row>
    <row r="145" spans="1:4" x14ac:dyDescent="0.25">
      <c r="A145" s="14" t="s">
        <v>17</v>
      </c>
      <c r="B145" s="15">
        <v>135000</v>
      </c>
    </row>
    <row r="146" spans="1:4" x14ac:dyDescent="0.25">
      <c r="A146" s="14" t="s">
        <v>21</v>
      </c>
      <c r="B146" s="15">
        <v>54000</v>
      </c>
    </row>
    <row r="147" spans="1:4" x14ac:dyDescent="0.25">
      <c r="A147" s="14" t="s">
        <v>80</v>
      </c>
      <c r="B147" s="15">
        <v>414000</v>
      </c>
    </row>
    <row r="150" spans="1:4" x14ac:dyDescent="0.25">
      <c r="A150" s="1" t="s">
        <v>58</v>
      </c>
      <c r="B150" s="1"/>
      <c r="C150" s="1"/>
      <c r="D150" s="1"/>
    </row>
    <row r="152" spans="1:4" x14ac:dyDescent="0.25">
      <c r="A152" s="13" t="s">
        <v>79</v>
      </c>
      <c r="B152" t="s">
        <v>81</v>
      </c>
    </row>
    <row r="153" spans="1:4" x14ac:dyDescent="0.25">
      <c r="A153" s="14" t="s">
        <v>19</v>
      </c>
      <c r="B153" s="15">
        <v>54000</v>
      </c>
    </row>
    <row r="154" spans="1:4" x14ac:dyDescent="0.25">
      <c r="A154" s="14" t="s">
        <v>15</v>
      </c>
      <c r="B154" s="15">
        <v>165000</v>
      </c>
    </row>
    <row r="155" spans="1:4" x14ac:dyDescent="0.25">
      <c r="A155" s="14" t="s">
        <v>23</v>
      </c>
      <c r="B155" s="15">
        <v>45000</v>
      </c>
    </row>
    <row r="156" spans="1:4" x14ac:dyDescent="0.25">
      <c r="A156" s="14" t="s">
        <v>11</v>
      </c>
      <c r="B156" s="15">
        <v>150000</v>
      </c>
    </row>
    <row r="157" spans="1:4" x14ac:dyDescent="0.25">
      <c r="A157" s="14" t="s">
        <v>80</v>
      </c>
      <c r="B157" s="15">
        <v>414000</v>
      </c>
    </row>
    <row r="159" spans="1:4" x14ac:dyDescent="0.25">
      <c r="A159" s="1" t="s">
        <v>59</v>
      </c>
      <c r="B159" s="1"/>
      <c r="C159" s="1"/>
    </row>
    <row r="174" spans="1:3" x14ac:dyDescent="0.25">
      <c r="A174" s="1" t="s">
        <v>60</v>
      </c>
      <c r="B174" s="1"/>
      <c r="C174" s="1"/>
    </row>
    <row r="191" spans="1:2" x14ac:dyDescent="0.25">
      <c r="A191" s="1" t="s">
        <v>61</v>
      </c>
      <c r="B191" s="1"/>
    </row>
    <row r="193" spans="1:7" x14ac:dyDescent="0.25">
      <c r="A193" t="s">
        <v>31</v>
      </c>
      <c r="B193" t="s">
        <v>32</v>
      </c>
      <c r="C193" t="s">
        <v>33</v>
      </c>
      <c r="D193" t="s">
        <v>34</v>
      </c>
      <c r="E193" t="s">
        <v>35</v>
      </c>
      <c r="F193" t="s">
        <v>36</v>
      </c>
      <c r="G193" t="s">
        <v>73</v>
      </c>
    </row>
    <row r="194" spans="1:7" x14ac:dyDescent="0.25">
      <c r="A194">
        <v>1</v>
      </c>
      <c r="B194" t="s">
        <v>37</v>
      </c>
      <c r="C194">
        <v>78</v>
      </c>
      <c r="D194">
        <v>82</v>
      </c>
      <c r="E194">
        <v>85</v>
      </c>
      <c r="F194">
        <v>92</v>
      </c>
      <c r="G194">
        <f>MEDIAN(Table8[Statistics])</f>
        <v>82</v>
      </c>
    </row>
    <row r="195" spans="1:7" x14ac:dyDescent="0.25">
      <c r="A195">
        <v>2</v>
      </c>
      <c r="B195" t="s">
        <v>38</v>
      </c>
      <c r="C195">
        <v>88</v>
      </c>
      <c r="D195">
        <v>91</v>
      </c>
      <c r="E195">
        <v>90</v>
      </c>
      <c r="F195">
        <v>96</v>
      </c>
      <c r="G195">
        <f>MEDIAN(Table8[Statistics])</f>
        <v>82</v>
      </c>
    </row>
    <row r="196" spans="1:7" x14ac:dyDescent="0.25">
      <c r="A196">
        <v>3</v>
      </c>
      <c r="B196" t="s">
        <v>39</v>
      </c>
      <c r="C196">
        <v>65</v>
      </c>
      <c r="D196">
        <v>70</v>
      </c>
      <c r="E196">
        <v>72</v>
      </c>
      <c r="F196">
        <v>85</v>
      </c>
      <c r="G196">
        <f>MEDIAN(Table8[Statistics])</f>
        <v>82</v>
      </c>
    </row>
    <row r="197" spans="1:7" x14ac:dyDescent="0.25">
      <c r="A197">
        <v>4</v>
      </c>
      <c r="B197" t="s">
        <v>40</v>
      </c>
      <c r="C197">
        <v>92</v>
      </c>
      <c r="D197">
        <v>89</v>
      </c>
      <c r="E197">
        <v>94</v>
      </c>
      <c r="F197">
        <v>98</v>
      </c>
      <c r="G197">
        <f>MEDIAN(Table8[Statistics])</f>
        <v>82</v>
      </c>
    </row>
    <row r="198" spans="1:7" x14ac:dyDescent="0.25">
      <c r="A198">
        <v>5</v>
      </c>
      <c r="B198" t="s">
        <v>41</v>
      </c>
      <c r="C198">
        <v>55</v>
      </c>
      <c r="D198">
        <v>60</v>
      </c>
      <c r="E198">
        <v>58</v>
      </c>
      <c r="F198">
        <v>80</v>
      </c>
      <c r="G198">
        <f>MEDIAN(Table8[Statistics])</f>
        <v>82</v>
      </c>
    </row>
    <row r="200" spans="1:7" x14ac:dyDescent="0.25">
      <c r="A200" s="1" t="s">
        <v>62</v>
      </c>
      <c r="B200" s="1"/>
      <c r="C200" s="1"/>
    </row>
    <row r="202" spans="1:7" x14ac:dyDescent="0.25">
      <c r="A202">
        <f>_xlfn.STDEV.P(Table8[Excel])</f>
        <v>13.181805642627264</v>
      </c>
      <c r="B202" t="s">
        <v>83</v>
      </c>
    </row>
    <row r="204" spans="1:7" x14ac:dyDescent="0.25">
      <c r="A204" s="1" t="s">
        <v>63</v>
      </c>
      <c r="B204" s="1"/>
      <c r="C204" s="1"/>
    </row>
    <row r="206" spans="1:7" x14ac:dyDescent="0.25">
      <c r="A206" t="str">
        <f>_xlfn.CONCAT(A194:B194)</f>
        <v>1Rahul</v>
      </c>
    </row>
    <row r="207" spans="1:7" x14ac:dyDescent="0.25">
      <c r="A207" t="str">
        <f t="shared" ref="A207:A210" si="1">_xlfn.CONCAT(A195:B195)</f>
        <v>2Sneha</v>
      </c>
    </row>
    <row r="208" spans="1:7" x14ac:dyDescent="0.25">
      <c r="A208" t="str">
        <f t="shared" si="1"/>
        <v>3Arjun</v>
      </c>
    </row>
    <row r="209" spans="1:8" x14ac:dyDescent="0.25">
      <c r="A209" t="str">
        <f t="shared" si="1"/>
        <v>4Pooja</v>
      </c>
    </row>
    <row r="210" spans="1:8" x14ac:dyDescent="0.25">
      <c r="A210" t="str">
        <f t="shared" si="1"/>
        <v>5Vikas</v>
      </c>
    </row>
    <row r="212" spans="1:8" x14ac:dyDescent="0.25">
      <c r="A212" s="1" t="s">
        <v>64</v>
      </c>
      <c r="B212" s="1"/>
      <c r="C212" s="1"/>
      <c r="D212" s="1"/>
    </row>
    <row r="214" spans="1:8" x14ac:dyDescent="0.25">
      <c r="A214" t="s">
        <v>4</v>
      </c>
      <c r="B214" t="s">
        <v>5</v>
      </c>
      <c r="C214" t="s">
        <v>6</v>
      </c>
      <c r="D214" t="s">
        <v>7</v>
      </c>
      <c r="E214" t="s">
        <v>8</v>
      </c>
      <c r="F214" t="s">
        <v>9</v>
      </c>
      <c r="G214" t="s">
        <v>10</v>
      </c>
      <c r="H214" t="s">
        <v>74</v>
      </c>
    </row>
    <row r="215" spans="1:8" x14ac:dyDescent="0.25">
      <c r="A215">
        <v>301</v>
      </c>
      <c r="B215" t="s">
        <v>11</v>
      </c>
      <c r="C215" t="s">
        <v>12</v>
      </c>
      <c r="D215" t="s">
        <v>13</v>
      </c>
      <c r="E215">
        <v>2</v>
      </c>
      <c r="F215">
        <v>45000</v>
      </c>
      <c r="G215" t="s">
        <v>14</v>
      </c>
      <c r="H215" t="str">
        <f>LEFT(C215,2)</f>
        <v>Am</v>
      </c>
    </row>
    <row r="216" spans="1:8" x14ac:dyDescent="0.25">
      <c r="A216">
        <v>302</v>
      </c>
      <c r="B216" t="s">
        <v>15</v>
      </c>
      <c r="C216" t="s">
        <v>16</v>
      </c>
      <c r="D216" t="s">
        <v>17</v>
      </c>
      <c r="E216">
        <v>5</v>
      </c>
      <c r="F216">
        <v>15000</v>
      </c>
      <c r="G216" t="s">
        <v>18</v>
      </c>
      <c r="H216" t="str">
        <f t="shared" ref="H216:H220" si="2">LEFT(C216,2)</f>
        <v>Ri</v>
      </c>
    </row>
    <row r="217" spans="1:8" x14ac:dyDescent="0.25">
      <c r="A217">
        <v>303</v>
      </c>
      <c r="B217" t="s">
        <v>19</v>
      </c>
      <c r="C217" t="s">
        <v>20</v>
      </c>
      <c r="D217" t="s">
        <v>21</v>
      </c>
      <c r="E217">
        <v>3</v>
      </c>
      <c r="F217">
        <v>18000</v>
      </c>
      <c r="G217" t="s">
        <v>22</v>
      </c>
      <c r="H217" t="str">
        <f t="shared" si="2"/>
        <v>Ku</v>
      </c>
    </row>
    <row r="218" spans="1:8" x14ac:dyDescent="0.25">
      <c r="A218">
        <v>304</v>
      </c>
      <c r="B218" t="s">
        <v>23</v>
      </c>
      <c r="C218" t="s">
        <v>24</v>
      </c>
      <c r="D218" t="s">
        <v>13</v>
      </c>
      <c r="E218">
        <v>1</v>
      </c>
      <c r="F218">
        <v>45000</v>
      </c>
      <c r="G218" t="s">
        <v>25</v>
      </c>
      <c r="H218" t="str">
        <f t="shared" si="2"/>
        <v>Ne</v>
      </c>
    </row>
    <row r="219" spans="1:8" x14ac:dyDescent="0.25">
      <c r="A219">
        <v>305</v>
      </c>
      <c r="B219" t="s">
        <v>11</v>
      </c>
      <c r="C219" t="s">
        <v>12</v>
      </c>
      <c r="D219" t="s">
        <v>17</v>
      </c>
      <c r="E219">
        <v>4</v>
      </c>
      <c r="F219">
        <v>15000</v>
      </c>
      <c r="G219" t="s">
        <v>26</v>
      </c>
      <c r="H219" t="str">
        <f t="shared" si="2"/>
        <v>Am</v>
      </c>
    </row>
    <row r="220" spans="1:8" x14ac:dyDescent="0.25">
      <c r="A220">
        <v>306</v>
      </c>
      <c r="B220" t="s">
        <v>15</v>
      </c>
      <c r="C220" t="s">
        <v>16</v>
      </c>
      <c r="D220" t="s">
        <v>13</v>
      </c>
      <c r="E220">
        <v>2</v>
      </c>
      <c r="F220">
        <v>45000</v>
      </c>
      <c r="G220" t="s">
        <v>27</v>
      </c>
      <c r="H220" t="str">
        <f t="shared" si="2"/>
        <v>Ri</v>
      </c>
    </row>
    <row r="222" spans="1:8" x14ac:dyDescent="0.25">
      <c r="A222" s="1" t="s">
        <v>65</v>
      </c>
      <c r="B222" s="1"/>
      <c r="C222" s="1"/>
      <c r="D222" s="1"/>
    </row>
    <row r="224" spans="1:8" x14ac:dyDescent="0.25">
      <c r="A224" t="s">
        <v>4</v>
      </c>
      <c r="B224" t="s">
        <v>5</v>
      </c>
      <c r="C224" t="s">
        <v>6</v>
      </c>
      <c r="D224" t="s">
        <v>7</v>
      </c>
      <c r="E224" t="s">
        <v>8</v>
      </c>
      <c r="F224" t="s">
        <v>9</v>
      </c>
      <c r="G224" t="s">
        <v>10</v>
      </c>
      <c r="H224" t="s">
        <v>78</v>
      </c>
    </row>
    <row r="225" spans="1:9" x14ac:dyDescent="0.25">
      <c r="A225">
        <v>301</v>
      </c>
      <c r="B225" t="s">
        <v>11</v>
      </c>
      <c r="C225" t="s">
        <v>12</v>
      </c>
      <c r="D225" t="s">
        <v>13</v>
      </c>
      <c r="E225">
        <v>2</v>
      </c>
      <c r="F225">
        <v>45000</v>
      </c>
      <c r="G225" t="s">
        <v>14</v>
      </c>
      <c r="H225">
        <v>90000</v>
      </c>
    </row>
    <row r="226" spans="1:9" x14ac:dyDescent="0.25">
      <c r="A226">
        <v>302</v>
      </c>
      <c r="B226" t="s">
        <v>15</v>
      </c>
      <c r="C226" t="s">
        <v>16</v>
      </c>
      <c r="D226" t="s">
        <v>17</v>
      </c>
      <c r="E226">
        <v>5</v>
      </c>
      <c r="F226">
        <v>15000</v>
      </c>
      <c r="G226" t="s">
        <v>18</v>
      </c>
      <c r="H226">
        <v>75000</v>
      </c>
    </row>
    <row r="227" spans="1:9" x14ac:dyDescent="0.25">
      <c r="A227">
        <v>303</v>
      </c>
      <c r="B227" t="s">
        <v>19</v>
      </c>
      <c r="C227" t="s">
        <v>20</v>
      </c>
      <c r="D227" t="s">
        <v>21</v>
      </c>
      <c r="E227">
        <v>3</v>
      </c>
      <c r="F227">
        <v>18000</v>
      </c>
      <c r="G227" t="s">
        <v>22</v>
      </c>
      <c r="H227">
        <v>54000</v>
      </c>
    </row>
    <row r="228" spans="1:9" x14ac:dyDescent="0.25">
      <c r="A228">
        <v>304</v>
      </c>
      <c r="B228" t="s">
        <v>23</v>
      </c>
      <c r="C228" t="s">
        <v>24</v>
      </c>
      <c r="D228" t="s">
        <v>13</v>
      </c>
      <c r="E228">
        <v>1</v>
      </c>
      <c r="F228">
        <v>45000</v>
      </c>
      <c r="G228" t="s">
        <v>25</v>
      </c>
      <c r="H228">
        <v>45000</v>
      </c>
    </row>
    <row r="229" spans="1:9" x14ac:dyDescent="0.25">
      <c r="A229">
        <v>305</v>
      </c>
      <c r="B229" t="s">
        <v>11</v>
      </c>
      <c r="C229" t="s">
        <v>12</v>
      </c>
      <c r="D229" t="s">
        <v>17</v>
      </c>
      <c r="E229">
        <v>4</v>
      </c>
      <c r="F229">
        <v>15000</v>
      </c>
      <c r="G229" t="s">
        <v>26</v>
      </c>
      <c r="H229">
        <v>60000</v>
      </c>
    </row>
    <row r="230" spans="1:9" x14ac:dyDescent="0.25">
      <c r="A230">
        <v>306</v>
      </c>
      <c r="B230" t="s">
        <v>15</v>
      </c>
      <c r="C230" t="s">
        <v>16</v>
      </c>
      <c r="D230" t="s">
        <v>13</v>
      </c>
      <c r="E230">
        <v>2</v>
      </c>
      <c r="F230">
        <v>45000</v>
      </c>
      <c r="G230" t="s">
        <v>27</v>
      </c>
      <c r="H230">
        <v>90000</v>
      </c>
    </row>
    <row r="232" spans="1:9" x14ac:dyDescent="0.25">
      <c r="A232" t="s">
        <v>66</v>
      </c>
    </row>
    <row r="234" spans="1:9" x14ac:dyDescent="0.25">
      <c r="A234" t="s">
        <v>4</v>
      </c>
      <c r="B234" t="s">
        <v>5</v>
      </c>
      <c r="C234" t="s">
        <v>6</v>
      </c>
      <c r="D234" t="s">
        <v>7</v>
      </c>
      <c r="E234" t="s">
        <v>8</v>
      </c>
      <c r="F234" t="s">
        <v>9</v>
      </c>
      <c r="G234" t="s">
        <v>10</v>
      </c>
      <c r="H234" t="s">
        <v>78</v>
      </c>
      <c r="I234" t="s">
        <v>76</v>
      </c>
    </row>
    <row r="235" spans="1:9" x14ac:dyDescent="0.25">
      <c r="A235">
        <v>301</v>
      </c>
      <c r="B235" t="s">
        <v>11</v>
      </c>
      <c r="C235" t="s">
        <v>12</v>
      </c>
      <c r="D235" t="s">
        <v>13</v>
      </c>
      <c r="E235">
        <v>2</v>
      </c>
      <c r="F235">
        <v>45000</v>
      </c>
      <c r="G235" t="s">
        <v>14</v>
      </c>
      <c r="H235">
        <v>90000</v>
      </c>
      <c r="I235">
        <f t="shared" ref="I235:I240" si="3">H235*VLOOKUP(D235,$A$24:$C$26,3,FALSE)/100</f>
        <v>16200</v>
      </c>
    </row>
    <row r="236" spans="1:9" hidden="1" x14ac:dyDescent="0.25">
      <c r="A236">
        <v>302</v>
      </c>
      <c r="B236" t="s">
        <v>15</v>
      </c>
      <c r="C236" t="s">
        <v>16</v>
      </c>
      <c r="D236" t="s">
        <v>17</v>
      </c>
      <c r="E236">
        <v>5</v>
      </c>
      <c r="F236">
        <v>15000</v>
      </c>
      <c r="G236" t="s">
        <v>18</v>
      </c>
      <c r="H236">
        <v>75000</v>
      </c>
      <c r="I236">
        <f t="shared" si="3"/>
        <v>9000</v>
      </c>
    </row>
    <row r="237" spans="1:9" hidden="1" x14ac:dyDescent="0.25">
      <c r="A237">
        <v>303</v>
      </c>
      <c r="B237" t="s">
        <v>19</v>
      </c>
      <c r="C237" t="s">
        <v>20</v>
      </c>
      <c r="D237" t="s">
        <v>21</v>
      </c>
      <c r="E237">
        <v>3</v>
      </c>
      <c r="F237">
        <v>18000</v>
      </c>
      <c r="G237" t="s">
        <v>22</v>
      </c>
      <c r="H237">
        <v>54000</v>
      </c>
      <c r="I237">
        <f t="shared" si="3"/>
        <v>6480</v>
      </c>
    </row>
    <row r="238" spans="1:9" hidden="1" x14ac:dyDescent="0.25">
      <c r="A238">
        <v>304</v>
      </c>
      <c r="B238" t="s">
        <v>23</v>
      </c>
      <c r="C238" t="s">
        <v>24</v>
      </c>
      <c r="D238" t="s">
        <v>13</v>
      </c>
      <c r="E238">
        <v>1</v>
      </c>
      <c r="F238">
        <v>45000</v>
      </c>
      <c r="G238" t="s">
        <v>25</v>
      </c>
      <c r="H238">
        <v>45000</v>
      </c>
      <c r="I238">
        <f t="shared" si="3"/>
        <v>8100</v>
      </c>
    </row>
    <row r="239" spans="1:9" hidden="1" x14ac:dyDescent="0.25">
      <c r="A239">
        <v>305</v>
      </c>
      <c r="B239" t="s">
        <v>11</v>
      </c>
      <c r="C239" t="s">
        <v>12</v>
      </c>
      <c r="D239" t="s">
        <v>17</v>
      </c>
      <c r="E239">
        <v>4</v>
      </c>
      <c r="F239">
        <v>15000</v>
      </c>
      <c r="G239" t="s">
        <v>26</v>
      </c>
      <c r="H239">
        <v>60000</v>
      </c>
      <c r="I239">
        <f t="shared" si="3"/>
        <v>7200</v>
      </c>
    </row>
    <row r="240" spans="1:9" x14ac:dyDescent="0.25">
      <c r="A240">
        <v>306</v>
      </c>
      <c r="B240" t="s">
        <v>15</v>
      </c>
      <c r="C240" t="s">
        <v>16</v>
      </c>
      <c r="D240" t="s">
        <v>13</v>
      </c>
      <c r="E240">
        <v>2</v>
      </c>
      <c r="F240">
        <v>45000</v>
      </c>
      <c r="G240" t="s">
        <v>27</v>
      </c>
      <c r="H240">
        <v>90000</v>
      </c>
      <c r="I240">
        <f t="shared" si="3"/>
        <v>16200</v>
      </c>
    </row>
    <row r="242" spans="1:3" x14ac:dyDescent="0.25">
      <c r="A242" t="s">
        <v>67</v>
      </c>
    </row>
    <row r="255" spans="1:3" x14ac:dyDescent="0.25">
      <c r="A255" s="1" t="s">
        <v>69</v>
      </c>
      <c r="B255" s="1"/>
      <c r="C255" s="1"/>
    </row>
    <row r="257" spans="1:7" ht="15.75" thickBot="1" x14ac:dyDescent="0.3">
      <c r="A257" s="2" t="s">
        <v>4</v>
      </c>
      <c r="B257" s="3" t="s">
        <v>5</v>
      </c>
      <c r="C257" s="3" t="s">
        <v>6</v>
      </c>
      <c r="D257" s="3" t="s">
        <v>7</v>
      </c>
      <c r="E257" s="3" t="s">
        <v>8</v>
      </c>
      <c r="F257" s="3" t="s">
        <v>9</v>
      </c>
      <c r="G257" s="3" t="s">
        <v>10</v>
      </c>
    </row>
    <row r="258" spans="1:7" ht="15.75" thickTop="1" x14ac:dyDescent="0.25">
      <c r="A258" s="4">
        <v>301</v>
      </c>
      <c r="B258" s="5" t="s">
        <v>11</v>
      </c>
      <c r="C258" s="5" t="s">
        <v>12</v>
      </c>
      <c r="D258" s="5" t="s">
        <v>13</v>
      </c>
      <c r="E258" s="5">
        <v>2</v>
      </c>
      <c r="F258" s="5">
        <v>45000</v>
      </c>
      <c r="G258" s="5" t="s">
        <v>14</v>
      </c>
    </row>
    <row r="259" spans="1:7" x14ac:dyDescent="0.25">
      <c r="A259" s="6">
        <v>302</v>
      </c>
      <c r="B259" s="7" t="s">
        <v>15</v>
      </c>
      <c r="C259" s="7" t="s">
        <v>16</v>
      </c>
      <c r="D259" s="7" t="s">
        <v>17</v>
      </c>
      <c r="E259" s="7">
        <v>5</v>
      </c>
      <c r="F259" s="7">
        <v>15000</v>
      </c>
      <c r="G259" s="7" t="s">
        <v>18</v>
      </c>
    </row>
    <row r="260" spans="1:7" x14ac:dyDescent="0.25">
      <c r="A260" s="4">
        <v>303</v>
      </c>
      <c r="B260" s="5" t="s">
        <v>19</v>
      </c>
      <c r="C260" s="5" t="s">
        <v>20</v>
      </c>
      <c r="D260" s="5" t="s">
        <v>21</v>
      </c>
      <c r="E260" s="5">
        <v>3</v>
      </c>
      <c r="F260" s="5">
        <v>18000</v>
      </c>
      <c r="G260" s="5" t="s">
        <v>22</v>
      </c>
    </row>
    <row r="261" spans="1:7" x14ac:dyDescent="0.25">
      <c r="A261" s="6">
        <v>304</v>
      </c>
      <c r="B261" s="7" t="s">
        <v>23</v>
      </c>
      <c r="C261" s="7" t="s">
        <v>24</v>
      </c>
      <c r="D261" s="7" t="s">
        <v>13</v>
      </c>
      <c r="E261" s="7">
        <v>1</v>
      </c>
      <c r="F261" s="7">
        <v>45000</v>
      </c>
      <c r="G261" s="7" t="s">
        <v>25</v>
      </c>
    </row>
    <row r="263" spans="1:7" x14ac:dyDescent="0.25">
      <c r="A263" t="s">
        <v>70</v>
      </c>
      <c r="D263" t="s">
        <v>84</v>
      </c>
    </row>
    <row r="266" spans="1:7" x14ac:dyDescent="0.25">
      <c r="A266" s="1" t="s">
        <v>71</v>
      </c>
      <c r="B266" s="1"/>
      <c r="C266" s="1"/>
      <c r="D266" s="1"/>
      <c r="E266" s="1" t="s">
        <v>85</v>
      </c>
      <c r="F266" s="1"/>
      <c r="G266" s="1"/>
    </row>
  </sheetData>
  <mergeCells count="20">
    <mergeCell ref="A255:C255"/>
    <mergeCell ref="A266:D266"/>
    <mergeCell ref="E266:G266"/>
    <mergeCell ref="A174:C174"/>
    <mergeCell ref="A191:B191"/>
    <mergeCell ref="A200:C200"/>
    <mergeCell ref="A204:C204"/>
    <mergeCell ref="A212:D212"/>
    <mergeCell ref="A222:D222"/>
    <mergeCell ref="A60:D60"/>
    <mergeCell ref="A98:E98"/>
    <mergeCell ref="A141:D141"/>
    <mergeCell ref="A150:D150"/>
    <mergeCell ref="A159:C159"/>
    <mergeCell ref="A10:F10"/>
    <mergeCell ref="A21:F21"/>
    <mergeCell ref="A29:E29"/>
    <mergeCell ref="A39:D39"/>
    <mergeCell ref="A52:E52"/>
    <mergeCell ref="A54:E54"/>
  </mergeCells>
  <conditionalFormatting sqref="I224">
    <cfRule type="cellIs" dxfId="3" priority="2" operator="greaterThan">
      <formula>60000</formula>
    </cfRule>
  </conditionalFormatting>
  <conditionalFormatting sqref="H224:H230">
    <cfRule type="cellIs" dxfId="1" priority="1" operator="greaterThan">
      <formula>60000</formula>
    </cfRule>
  </conditionalFormatting>
  <pageMargins left="0.7" right="0.7" top="0.75" bottom="0.75" header="0.3" footer="0.3"/>
  <drawing r:id="rId3"/>
  <tableParts count="8"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Sales_Data</vt:lpstr>
      <vt:lpstr>Product_Master</vt:lpstr>
      <vt:lpstr>Student_Marks</vt:lpstr>
      <vt:lpstr>Questions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ASDC8</cp:lastModifiedBy>
  <dcterms:created xsi:type="dcterms:W3CDTF">2025-12-20T09:26:06Z</dcterms:created>
  <dcterms:modified xsi:type="dcterms:W3CDTF">2026-04-20T07:45:00Z</dcterms:modified>
</cp:coreProperties>
</file>