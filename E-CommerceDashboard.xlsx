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HRUV\OneDrive\Desktop\"/>
    </mc:Choice>
  </mc:AlternateContent>
  <xr:revisionPtr revIDLastSave="0" documentId="13_ncr:1_{3C871C03-3987-4AF8-846D-2B2B7173BF2B}" xr6:coauthVersionLast="47" xr6:coauthVersionMax="47" xr10:uidLastSave="{00000000-0000-0000-0000-000000000000}"/>
  <bookViews>
    <workbookView xWindow="-108" yWindow="-108" windowWidth="23256" windowHeight="13896" activeTab="2" xr2:uid="{00000000-000D-0000-FFFF-FFFF00000000}"/>
  </bookViews>
  <sheets>
    <sheet name="Raw Data" sheetId="1" r:id="rId1"/>
    <sheet name="Pivot-Table" sheetId="10" r:id="rId2"/>
    <sheet name="Dashboard" sheetId="11" r:id="rId3"/>
    <sheet name="Sheet1" sheetId="12" r:id="rId4"/>
  </sheets>
  <definedNames>
    <definedName name="NativeTimeline_Order_Date">#N/A</definedName>
    <definedName name="Slicer_Category">#N/A</definedName>
    <definedName name="Slicer_Payment_Method">#N/A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6" i="1" l="1"/>
  <c r="R37" i="1"/>
  <c r="R41" i="1"/>
  <c r="R44" i="1"/>
  <c r="R57" i="1"/>
  <c r="R62" i="1"/>
  <c r="R65" i="1"/>
  <c r="R66" i="1"/>
  <c r="R75" i="1"/>
  <c r="R79" i="1"/>
  <c r="R88" i="1"/>
  <c r="R90" i="1"/>
  <c r="R91" i="1"/>
  <c r="R92" i="1"/>
  <c r="R98" i="1"/>
  <c r="AF3" i="1" a="1"/>
  <c r="AF3" i="1" s="1"/>
  <c r="AF4" i="1" a="1"/>
  <c r="AF4" i="1" s="1"/>
  <c r="AF5" i="1" a="1"/>
  <c r="AF5" i="1" s="1"/>
  <c r="AF6" i="1" a="1"/>
  <c r="AF6" i="1" s="1"/>
  <c r="AF7" i="1" a="1"/>
  <c r="AF7" i="1" s="1"/>
  <c r="AF8" i="1" a="1"/>
  <c r="AF8" i="1" s="1"/>
  <c r="AF9" i="1" a="1"/>
  <c r="AF9" i="1"/>
  <c r="AF10" i="1" a="1"/>
  <c r="AF10" i="1" s="1"/>
  <c r="AF11" i="1" a="1"/>
  <c r="AF11" i="1" s="1"/>
  <c r="AF12" i="1" a="1"/>
  <c r="AF12" i="1" s="1"/>
  <c r="AF13" i="1" a="1"/>
  <c r="AF13" i="1" s="1"/>
  <c r="AF14" i="1" a="1"/>
  <c r="AF14" i="1" s="1"/>
  <c r="AF15" i="1" a="1"/>
  <c r="AF15" i="1" s="1"/>
  <c r="AF16" i="1" a="1"/>
  <c r="AF16" i="1" s="1"/>
  <c r="AF17" i="1" a="1"/>
  <c r="AF17" i="1" s="1"/>
  <c r="AF18" i="1" a="1"/>
  <c r="AF18" i="1" s="1"/>
  <c r="AF19" i="1" a="1"/>
  <c r="AF19" i="1" s="1"/>
  <c r="AF20" i="1" a="1"/>
  <c r="AF20" i="1" s="1"/>
  <c r="AF21" i="1" a="1"/>
  <c r="AF21" i="1" s="1"/>
  <c r="AF22" i="1" a="1"/>
  <c r="AF22" i="1" s="1"/>
  <c r="AF23" i="1" a="1"/>
  <c r="AF23" i="1"/>
  <c r="AF24" i="1" a="1"/>
  <c r="AF24" i="1" s="1"/>
  <c r="AF25" i="1" a="1"/>
  <c r="AF25" i="1" s="1"/>
  <c r="AF26" i="1" a="1"/>
  <c r="AF26" i="1" s="1"/>
  <c r="AF27" i="1" a="1"/>
  <c r="AF27" i="1"/>
  <c r="AF28" i="1" a="1"/>
  <c r="AF28" i="1" s="1"/>
  <c r="AF29" i="1" a="1"/>
  <c r="AF29" i="1"/>
  <c r="AF30" i="1" a="1"/>
  <c r="AF30" i="1" s="1"/>
  <c r="AF31" i="1" a="1"/>
  <c r="AF31" i="1" s="1"/>
  <c r="AF32" i="1" a="1"/>
  <c r="AF32" i="1" s="1"/>
  <c r="AF33" i="1" a="1"/>
  <c r="AF33" i="1" s="1"/>
  <c r="AF34" i="1" a="1"/>
  <c r="AF34" i="1" s="1"/>
  <c r="AF35" i="1" a="1"/>
  <c r="AF35" i="1" s="1"/>
  <c r="AF36" i="1" a="1"/>
  <c r="AF36" i="1" s="1"/>
  <c r="AF37" i="1" a="1"/>
  <c r="AF37" i="1" s="1"/>
  <c r="AF38" i="1" a="1"/>
  <c r="AF38" i="1" s="1"/>
  <c r="AF39" i="1" a="1"/>
  <c r="AF39" i="1" s="1"/>
  <c r="AF40" i="1" a="1"/>
  <c r="AF40" i="1" s="1"/>
  <c r="AF41" i="1" a="1"/>
  <c r="AF41" i="1" s="1"/>
  <c r="AF42" i="1" a="1"/>
  <c r="AF42" i="1" s="1"/>
  <c r="AF43" i="1" a="1"/>
  <c r="AF43" i="1"/>
  <c r="AF44" i="1" a="1"/>
  <c r="AF44" i="1" s="1"/>
  <c r="AF45" i="1" a="1"/>
  <c r="AF45" i="1"/>
  <c r="AF46" i="1" a="1"/>
  <c r="AF46" i="1" s="1"/>
  <c r="AF47" i="1" a="1"/>
  <c r="AF47" i="1"/>
  <c r="AF48" i="1" a="1"/>
  <c r="AF48" i="1" s="1"/>
  <c r="AF49" i="1" a="1"/>
  <c r="AF49" i="1" s="1"/>
  <c r="AF50" i="1" a="1"/>
  <c r="AF50" i="1" s="1"/>
  <c r="AF51" i="1" a="1"/>
  <c r="AF51" i="1" s="1"/>
  <c r="AF52" i="1" a="1"/>
  <c r="AF52" i="1" s="1"/>
  <c r="AF53" i="1" a="1"/>
  <c r="AF53" i="1" s="1"/>
  <c r="AF54" i="1" a="1"/>
  <c r="AF54" i="1" s="1"/>
  <c r="AF55" i="1" a="1"/>
  <c r="AF55" i="1" s="1"/>
  <c r="AF56" i="1" a="1"/>
  <c r="AF56" i="1" s="1"/>
  <c r="AF57" i="1" a="1"/>
  <c r="AF57" i="1" s="1"/>
  <c r="AF58" i="1" a="1"/>
  <c r="AF58" i="1" s="1"/>
  <c r="AF59" i="1" a="1"/>
  <c r="AF59" i="1" s="1"/>
  <c r="AF60" i="1" a="1"/>
  <c r="AF60" i="1" s="1"/>
  <c r="AF61" i="1" a="1"/>
  <c r="AF61" i="1" s="1"/>
  <c r="AF62" i="1" a="1"/>
  <c r="AF62" i="1" s="1"/>
  <c r="AF63" i="1" a="1"/>
  <c r="AF63" i="1" s="1"/>
  <c r="AF64" i="1" a="1"/>
  <c r="AF64" i="1" s="1"/>
  <c r="AF65" i="1" a="1"/>
  <c r="AF65" i="1" s="1"/>
  <c r="AF66" i="1" a="1"/>
  <c r="AF66" i="1" s="1"/>
  <c r="AF67" i="1" a="1"/>
  <c r="AF67" i="1" s="1"/>
  <c r="AF68" i="1" a="1"/>
  <c r="AF68" i="1" s="1"/>
  <c r="AF69" i="1" a="1"/>
  <c r="AF69" i="1"/>
  <c r="AF70" i="1" a="1"/>
  <c r="AF70" i="1" s="1"/>
  <c r="AF71" i="1" a="1"/>
  <c r="AF71" i="1"/>
  <c r="AF72" i="1" a="1"/>
  <c r="AF72" i="1" s="1"/>
  <c r="AF73" i="1" a="1"/>
  <c r="AF73" i="1"/>
  <c r="AF74" i="1" a="1"/>
  <c r="AF74" i="1" s="1"/>
  <c r="AF75" i="1" a="1"/>
  <c r="AF75" i="1" s="1"/>
  <c r="AF76" i="1" a="1"/>
  <c r="AF76" i="1" s="1"/>
  <c r="AF77" i="1" a="1"/>
  <c r="AF77" i="1" s="1"/>
  <c r="AF78" i="1" a="1"/>
  <c r="AF78" i="1" s="1"/>
  <c r="AF79" i="1" a="1"/>
  <c r="AF79" i="1"/>
  <c r="AF80" i="1" a="1"/>
  <c r="AF80" i="1" s="1"/>
  <c r="AF81" i="1" a="1"/>
  <c r="AF81" i="1"/>
  <c r="AF82" i="1" a="1"/>
  <c r="AF82" i="1" s="1"/>
  <c r="AF83" i="1" a="1"/>
  <c r="AF83" i="1" s="1"/>
  <c r="AF84" i="1" a="1"/>
  <c r="AF84" i="1" s="1"/>
  <c r="AF85" i="1" a="1"/>
  <c r="AF85" i="1"/>
  <c r="AF86" i="1" a="1"/>
  <c r="AF86" i="1" s="1"/>
  <c r="AF87" i="1" a="1"/>
  <c r="AF87" i="1" s="1"/>
  <c r="AF88" i="1" a="1"/>
  <c r="AF88" i="1" s="1"/>
  <c r="AF89" i="1" a="1"/>
  <c r="AF89" i="1" s="1"/>
  <c r="AF90" i="1" a="1"/>
  <c r="AF90" i="1" s="1"/>
  <c r="AF91" i="1" a="1"/>
  <c r="AF91" i="1"/>
  <c r="AF92" i="1" a="1"/>
  <c r="AF92" i="1" s="1"/>
  <c r="AF93" i="1" a="1"/>
  <c r="AF93" i="1" s="1"/>
  <c r="AF94" i="1" a="1"/>
  <c r="AF94" i="1" s="1"/>
  <c r="AF95" i="1" a="1"/>
  <c r="AF95" i="1" s="1"/>
  <c r="AF96" i="1" a="1"/>
  <c r="AF96" i="1" s="1"/>
  <c r="AF97" i="1" a="1"/>
  <c r="AF97" i="1"/>
  <c r="AF98" i="1" a="1"/>
  <c r="AF98" i="1" s="1"/>
  <c r="AF99" i="1" a="1"/>
  <c r="AF99" i="1" s="1"/>
  <c r="AF100" i="1" a="1"/>
  <c r="AF100" i="1" s="1"/>
  <c r="AF101" i="1" a="1"/>
  <c r="AF101" i="1" s="1"/>
  <c r="AF2" i="1" a="1"/>
  <c r="AF2" i="1" s="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2"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A6" i="1"/>
  <c r="AB6" i="1" s="1"/>
  <c r="AA7" i="1"/>
  <c r="AB7" i="1" s="1"/>
  <c r="AA10" i="1"/>
  <c r="AB10" i="1" s="1"/>
  <c r="AA11" i="1"/>
  <c r="AB11" i="1" s="1"/>
  <c r="AA13" i="1"/>
  <c r="AB13" i="1" s="1"/>
  <c r="AA14" i="1"/>
  <c r="AB14" i="1" s="1"/>
  <c r="AA15" i="1"/>
  <c r="AB15" i="1" s="1"/>
  <c r="AA16" i="1"/>
  <c r="AB16" i="1" s="1"/>
  <c r="AA17" i="1"/>
  <c r="AB17" i="1" s="1"/>
  <c r="AA22" i="1"/>
  <c r="AB22" i="1" s="1"/>
  <c r="AA24" i="1"/>
  <c r="AB24" i="1" s="1"/>
  <c r="AA25" i="1"/>
  <c r="AB25" i="1" s="1"/>
  <c r="AA26" i="1"/>
  <c r="AA27" i="1"/>
  <c r="AB27" i="1" s="1"/>
  <c r="AA28" i="1"/>
  <c r="AB28" i="1" s="1"/>
  <c r="AA29" i="1"/>
  <c r="AB29" i="1" s="1"/>
  <c r="AA30" i="1"/>
  <c r="AB30" i="1" s="1"/>
  <c r="AA31" i="1"/>
  <c r="AB31" i="1" s="1"/>
  <c r="AA32" i="1"/>
  <c r="AA33" i="1"/>
  <c r="AB33" i="1" s="1"/>
  <c r="AA40" i="1"/>
  <c r="AB40" i="1" s="1"/>
  <c r="AA41" i="1"/>
  <c r="AB41" i="1" s="1"/>
  <c r="AA43" i="1"/>
  <c r="AB43" i="1" s="1"/>
  <c r="AA44" i="1"/>
  <c r="AB44" i="1" s="1"/>
  <c r="AA45" i="1"/>
  <c r="AB45" i="1" s="1"/>
  <c r="AA47" i="1"/>
  <c r="AB47" i="1" s="1"/>
  <c r="AA48" i="1"/>
  <c r="AB48" i="1" s="1"/>
  <c r="AA49" i="1"/>
  <c r="AB49" i="1" s="1"/>
  <c r="AA56" i="1"/>
  <c r="AB56" i="1" s="1"/>
  <c r="AA57" i="1"/>
  <c r="AB57" i="1" s="1"/>
  <c r="AA59" i="1"/>
  <c r="AB59" i="1" s="1"/>
  <c r="AA60" i="1"/>
  <c r="AB60" i="1" s="1"/>
  <c r="AA61" i="1"/>
  <c r="AB61" i="1" s="1"/>
  <c r="AA62" i="1"/>
  <c r="AB62" i="1" s="1"/>
  <c r="AA63" i="1"/>
  <c r="AB63" i="1" s="1"/>
  <c r="AA64" i="1"/>
  <c r="AB64" i="1" s="1"/>
  <c r="AA65" i="1"/>
  <c r="AB65" i="1" s="1"/>
  <c r="AA75" i="1"/>
  <c r="AB75" i="1" s="1"/>
  <c r="AA76" i="1"/>
  <c r="AB76" i="1" s="1"/>
  <c r="AA78" i="1"/>
  <c r="AB78" i="1" s="1"/>
  <c r="AA79" i="1"/>
  <c r="AB79" i="1" s="1"/>
  <c r="AA80" i="1"/>
  <c r="AB80" i="1" s="1"/>
  <c r="AA81" i="1"/>
  <c r="AB81" i="1" s="1"/>
  <c r="AA89" i="1"/>
  <c r="AB89" i="1" s="1"/>
  <c r="AA91" i="1"/>
  <c r="AB91" i="1" s="1"/>
  <c r="AA92" i="1"/>
  <c r="AB92" i="1" s="1"/>
  <c r="AA93" i="1"/>
  <c r="AB93" i="1" s="1"/>
  <c r="AA94" i="1"/>
  <c r="AB94" i="1" s="1"/>
  <c r="AA95" i="1"/>
  <c r="AB95" i="1" s="1"/>
  <c r="AA96" i="1"/>
  <c r="AB96" i="1" s="1"/>
  <c r="AA100" i="1"/>
  <c r="AB100" i="1" s="1"/>
  <c r="U101" i="1"/>
  <c r="V101" i="1" s="1"/>
  <c r="W101" i="1" s="1"/>
  <c r="U95" i="1"/>
  <c r="V95" i="1" s="1"/>
  <c r="W95" i="1" s="1"/>
  <c r="X95" i="1" s="1"/>
  <c r="U96" i="1"/>
  <c r="V96" i="1" s="1"/>
  <c r="W96" i="1" s="1"/>
  <c r="X96" i="1" s="1"/>
  <c r="U97" i="1"/>
  <c r="V97" i="1" s="1"/>
  <c r="W97" i="1" s="1"/>
  <c r="U98" i="1"/>
  <c r="V98" i="1" s="1"/>
  <c r="W98" i="1" s="1"/>
  <c r="U99" i="1"/>
  <c r="V99" i="1" s="1"/>
  <c r="W99" i="1" s="1"/>
  <c r="U100" i="1"/>
  <c r="V100" i="1" s="1"/>
  <c r="W100" i="1" s="1"/>
  <c r="X100" i="1" s="1"/>
  <c r="U75" i="1"/>
  <c r="V75" i="1" s="1"/>
  <c r="W75" i="1" s="1"/>
  <c r="U76" i="1"/>
  <c r="V76" i="1" s="1"/>
  <c r="W76" i="1" s="1"/>
  <c r="G76" i="1" s="1"/>
  <c r="AC76" i="1" s="1"/>
  <c r="U77" i="1"/>
  <c r="V77" i="1" s="1"/>
  <c r="W77" i="1" s="1"/>
  <c r="X77" i="1" s="1"/>
  <c r="U78" i="1"/>
  <c r="V78" i="1" s="1"/>
  <c r="W78" i="1" s="1"/>
  <c r="U79" i="1"/>
  <c r="V79" i="1" s="1"/>
  <c r="W79" i="1" s="1"/>
  <c r="U80" i="1"/>
  <c r="V80" i="1" s="1"/>
  <c r="W80" i="1" s="1"/>
  <c r="U81" i="1"/>
  <c r="V81" i="1" s="1"/>
  <c r="W81" i="1" s="1"/>
  <c r="X81" i="1" s="1"/>
  <c r="U82" i="1"/>
  <c r="V82" i="1" s="1"/>
  <c r="W82" i="1" s="1"/>
  <c r="U83" i="1"/>
  <c r="V83" i="1" s="1"/>
  <c r="W83" i="1" s="1"/>
  <c r="Z83" i="1" s="1"/>
  <c r="U84" i="1"/>
  <c r="V84" i="1" s="1"/>
  <c r="W84" i="1" s="1"/>
  <c r="U85" i="1"/>
  <c r="V85" i="1" s="1"/>
  <c r="W85" i="1" s="1"/>
  <c r="U86" i="1"/>
  <c r="V86" i="1" s="1"/>
  <c r="W86" i="1" s="1"/>
  <c r="U87" i="1"/>
  <c r="V87" i="1" s="1"/>
  <c r="W87" i="1" s="1"/>
  <c r="U88" i="1"/>
  <c r="V88" i="1" s="1"/>
  <c r="W88" i="1" s="1"/>
  <c r="U89" i="1"/>
  <c r="V89" i="1" s="1"/>
  <c r="W89" i="1" s="1"/>
  <c r="U90" i="1"/>
  <c r="V90" i="1" s="1"/>
  <c r="W90" i="1" s="1"/>
  <c r="U91" i="1"/>
  <c r="V91" i="1" s="1"/>
  <c r="W91" i="1" s="1"/>
  <c r="G91" i="1" s="1"/>
  <c r="AC91" i="1" s="1"/>
  <c r="U92" i="1"/>
  <c r="V92" i="1" s="1"/>
  <c r="W92" i="1" s="1"/>
  <c r="G92" i="1" s="1"/>
  <c r="AC92" i="1" s="1"/>
  <c r="U93" i="1"/>
  <c r="V93" i="1" s="1"/>
  <c r="W93" i="1" s="1"/>
  <c r="G93" i="1" s="1"/>
  <c r="U94" i="1"/>
  <c r="V94" i="1" s="1"/>
  <c r="W94" i="1" s="1"/>
  <c r="X94" i="1" s="1"/>
  <c r="U66" i="1"/>
  <c r="V66" i="1" s="1"/>
  <c r="W66" i="1" s="1"/>
  <c r="U67" i="1"/>
  <c r="V67" i="1" s="1"/>
  <c r="W67" i="1" s="1"/>
  <c r="U68" i="1"/>
  <c r="V68" i="1" s="1"/>
  <c r="W68" i="1" s="1"/>
  <c r="U69" i="1"/>
  <c r="V69" i="1" s="1"/>
  <c r="W69" i="1" s="1"/>
  <c r="U70" i="1"/>
  <c r="V70" i="1" s="1"/>
  <c r="W70" i="1" s="1"/>
  <c r="Z70" i="1" s="1"/>
  <c r="U71" i="1"/>
  <c r="V71" i="1" s="1"/>
  <c r="W71" i="1" s="1"/>
  <c r="Z71" i="1" s="1"/>
  <c r="U72" i="1"/>
  <c r="V72" i="1" s="1"/>
  <c r="W72" i="1" s="1"/>
  <c r="G72" i="1" s="1"/>
  <c r="AC72" i="1" s="1"/>
  <c r="U73" i="1"/>
  <c r="V73" i="1" s="1"/>
  <c r="W73" i="1" s="1"/>
  <c r="G73" i="1" s="1"/>
  <c r="U74" i="1"/>
  <c r="V74" i="1" s="1"/>
  <c r="W74" i="1" s="1"/>
  <c r="U10" i="1"/>
  <c r="V10" i="1" s="1"/>
  <c r="W10" i="1" s="1"/>
  <c r="X10" i="1" s="1"/>
  <c r="U11" i="1"/>
  <c r="V11" i="1" s="1"/>
  <c r="W11" i="1" s="1"/>
  <c r="U12" i="1"/>
  <c r="V12" i="1" s="1"/>
  <c r="W12" i="1" s="1"/>
  <c r="G12" i="1" s="1"/>
  <c r="AC12" i="1" s="1"/>
  <c r="U13" i="1"/>
  <c r="V13" i="1" s="1"/>
  <c r="W13" i="1" s="1"/>
  <c r="G13" i="1" s="1"/>
  <c r="U14" i="1"/>
  <c r="V14" i="1" s="1"/>
  <c r="W14" i="1" s="1"/>
  <c r="G14" i="1" s="1"/>
  <c r="U15" i="1"/>
  <c r="V15" i="1" s="1"/>
  <c r="W15" i="1" s="1"/>
  <c r="X15" i="1" s="1"/>
  <c r="U16" i="1"/>
  <c r="V16" i="1" s="1"/>
  <c r="W16" i="1" s="1"/>
  <c r="U17" i="1"/>
  <c r="V17" i="1" s="1"/>
  <c r="W17" i="1" s="1"/>
  <c r="U18" i="1"/>
  <c r="V18" i="1" s="1"/>
  <c r="W18" i="1" s="1"/>
  <c r="U19" i="1"/>
  <c r="V19" i="1" s="1"/>
  <c r="W19" i="1" s="1"/>
  <c r="U20" i="1"/>
  <c r="V20" i="1" s="1"/>
  <c r="W20" i="1" s="1"/>
  <c r="U21" i="1"/>
  <c r="V21" i="1" s="1"/>
  <c r="W21" i="1" s="1"/>
  <c r="U22" i="1"/>
  <c r="V22" i="1" s="1"/>
  <c r="W22" i="1" s="1"/>
  <c r="U23" i="1"/>
  <c r="V23" i="1" s="1"/>
  <c r="W23" i="1" s="1"/>
  <c r="U24" i="1"/>
  <c r="V24" i="1" s="1"/>
  <c r="W24" i="1" s="1"/>
  <c r="U25" i="1"/>
  <c r="V25" i="1" s="1"/>
  <c r="W25" i="1" s="1"/>
  <c r="U26" i="1"/>
  <c r="V26" i="1" s="1"/>
  <c r="W26" i="1" s="1"/>
  <c r="U27" i="1"/>
  <c r="V27" i="1" s="1"/>
  <c r="W27" i="1" s="1"/>
  <c r="U28" i="1"/>
  <c r="V28" i="1" s="1"/>
  <c r="W28" i="1" s="1"/>
  <c r="Z28" i="1" s="1"/>
  <c r="U29" i="1"/>
  <c r="V29" i="1" s="1"/>
  <c r="W29" i="1" s="1"/>
  <c r="Z29" i="1" s="1"/>
  <c r="U30" i="1"/>
  <c r="V30" i="1" s="1"/>
  <c r="W30" i="1" s="1"/>
  <c r="Z30" i="1" s="1"/>
  <c r="U31" i="1"/>
  <c r="V31" i="1" s="1"/>
  <c r="W31" i="1" s="1"/>
  <c r="G31" i="1" s="1"/>
  <c r="U32" i="1"/>
  <c r="V32" i="1" s="1"/>
  <c r="W32" i="1" s="1"/>
  <c r="Z32" i="1" s="1"/>
  <c r="U33" i="1"/>
  <c r="V33" i="1" s="1"/>
  <c r="W33" i="1" s="1"/>
  <c r="Z33" i="1" s="1"/>
  <c r="U34" i="1"/>
  <c r="V34" i="1" s="1"/>
  <c r="W34" i="1" s="1"/>
  <c r="Z34" i="1" s="1"/>
  <c r="U35" i="1"/>
  <c r="V35" i="1" s="1"/>
  <c r="W35" i="1" s="1"/>
  <c r="G35" i="1" s="1"/>
  <c r="U36" i="1"/>
  <c r="V36" i="1" s="1"/>
  <c r="W36" i="1" s="1"/>
  <c r="G36" i="1" s="1"/>
  <c r="U37" i="1"/>
  <c r="V37" i="1" s="1"/>
  <c r="W37" i="1" s="1"/>
  <c r="Z37" i="1" s="1"/>
  <c r="U38" i="1"/>
  <c r="V38" i="1" s="1"/>
  <c r="W38" i="1" s="1"/>
  <c r="U39" i="1"/>
  <c r="V39" i="1" s="1"/>
  <c r="W39" i="1" s="1"/>
  <c r="U40" i="1"/>
  <c r="V40" i="1" s="1"/>
  <c r="W40" i="1" s="1"/>
  <c r="U41" i="1"/>
  <c r="V41" i="1" s="1"/>
  <c r="W41" i="1" s="1"/>
  <c r="U42" i="1"/>
  <c r="V42" i="1" s="1"/>
  <c r="W42" i="1" s="1"/>
  <c r="U43" i="1"/>
  <c r="V43" i="1" s="1"/>
  <c r="W43" i="1" s="1"/>
  <c r="U44" i="1"/>
  <c r="V44" i="1" s="1"/>
  <c r="W44" i="1" s="1"/>
  <c r="U45" i="1"/>
  <c r="V45" i="1" s="1"/>
  <c r="W45" i="1" s="1"/>
  <c r="U46" i="1"/>
  <c r="V46" i="1" s="1"/>
  <c r="W46" i="1" s="1"/>
  <c r="U47" i="1"/>
  <c r="V47" i="1" s="1"/>
  <c r="W47" i="1" s="1"/>
  <c r="U48" i="1"/>
  <c r="V48" i="1" s="1"/>
  <c r="W48" i="1" s="1"/>
  <c r="G48" i="1" s="1"/>
  <c r="AC48" i="1" s="1"/>
  <c r="U49" i="1"/>
  <c r="V49" i="1" s="1"/>
  <c r="W49" i="1" s="1"/>
  <c r="G49" i="1" s="1"/>
  <c r="AC49" i="1" s="1"/>
  <c r="U50" i="1"/>
  <c r="V50" i="1" s="1"/>
  <c r="W50" i="1" s="1"/>
  <c r="U51" i="1"/>
  <c r="V51" i="1" s="1"/>
  <c r="W51" i="1" s="1"/>
  <c r="X51" i="1" s="1"/>
  <c r="U52" i="1"/>
  <c r="V52" i="1" s="1"/>
  <c r="W52" i="1" s="1"/>
  <c r="X52" i="1" s="1"/>
  <c r="U53" i="1"/>
  <c r="V53" i="1" s="1"/>
  <c r="W53" i="1" s="1"/>
  <c r="U54" i="1"/>
  <c r="V54" i="1" s="1"/>
  <c r="W54" i="1" s="1"/>
  <c r="G54" i="1" s="1"/>
  <c r="U55" i="1"/>
  <c r="V55" i="1" s="1"/>
  <c r="W55" i="1" s="1"/>
  <c r="Z55" i="1" s="1"/>
  <c r="U56" i="1"/>
  <c r="V56" i="1" s="1"/>
  <c r="W56" i="1" s="1"/>
  <c r="G56" i="1" s="1"/>
  <c r="U57" i="1"/>
  <c r="V57" i="1" s="1"/>
  <c r="W57" i="1" s="1"/>
  <c r="U58" i="1"/>
  <c r="V58" i="1" s="1"/>
  <c r="W58" i="1" s="1"/>
  <c r="U59" i="1"/>
  <c r="V59" i="1" s="1"/>
  <c r="W59" i="1" s="1"/>
  <c r="U60" i="1"/>
  <c r="V60" i="1" s="1"/>
  <c r="W60" i="1" s="1"/>
  <c r="G60" i="1" s="1"/>
  <c r="AC60" i="1" s="1"/>
  <c r="U61" i="1"/>
  <c r="V61" i="1" s="1"/>
  <c r="W61" i="1" s="1"/>
  <c r="U62" i="1"/>
  <c r="V62" i="1" s="1"/>
  <c r="W62" i="1" s="1"/>
  <c r="Z62" i="1" s="1"/>
  <c r="U63" i="1"/>
  <c r="V63" i="1" s="1"/>
  <c r="W63" i="1" s="1"/>
  <c r="Z63" i="1" s="1"/>
  <c r="U64" i="1"/>
  <c r="V64" i="1" s="1"/>
  <c r="W64" i="1" s="1"/>
  <c r="U65" i="1"/>
  <c r="V65" i="1" s="1"/>
  <c r="W65" i="1" s="1"/>
  <c r="X65" i="1" s="1"/>
  <c r="U8" i="1"/>
  <c r="V8" i="1" s="1"/>
  <c r="W8" i="1" s="1"/>
  <c r="U9" i="1"/>
  <c r="V9" i="1" s="1"/>
  <c r="W9" i="1" s="1"/>
  <c r="X9" i="1" s="1"/>
  <c r="U3" i="1"/>
  <c r="V3" i="1" s="1"/>
  <c r="W3" i="1" s="1"/>
  <c r="U4" i="1"/>
  <c r="V4" i="1" s="1"/>
  <c r="W4" i="1" s="1"/>
  <c r="U5" i="1"/>
  <c r="V5" i="1" s="1"/>
  <c r="W5" i="1" s="1"/>
  <c r="U6" i="1"/>
  <c r="V6" i="1" s="1"/>
  <c r="W6" i="1" s="1"/>
  <c r="U7" i="1"/>
  <c r="V7" i="1" s="1"/>
  <c r="W7" i="1" s="1"/>
  <c r="U2" i="1"/>
  <c r="V2" i="1" s="1"/>
  <c r="W2" i="1" s="1"/>
  <c r="R101" i="1"/>
  <c r="R100" i="1"/>
  <c r="R99" i="1"/>
  <c r="R97" i="1"/>
  <c r="R96" i="1"/>
  <c r="R95" i="1"/>
  <c r="R94" i="1"/>
  <c r="R93" i="1"/>
  <c r="R89" i="1"/>
  <c r="R87" i="1"/>
  <c r="R86" i="1"/>
  <c r="R85" i="1"/>
  <c r="R84" i="1"/>
  <c r="R83" i="1"/>
  <c r="R82" i="1"/>
  <c r="R81" i="1"/>
  <c r="R80" i="1"/>
  <c r="R78" i="1"/>
  <c r="R77" i="1"/>
  <c r="R76" i="1"/>
  <c r="R74" i="1"/>
  <c r="R73" i="1"/>
  <c r="R72" i="1"/>
  <c r="R71" i="1"/>
  <c r="R70" i="1"/>
  <c r="R69" i="1"/>
  <c r="R68" i="1"/>
  <c r="R67" i="1"/>
  <c r="R64" i="1"/>
  <c r="R63" i="1"/>
  <c r="R61" i="1"/>
  <c r="R60" i="1"/>
  <c r="R59" i="1"/>
  <c r="R58" i="1"/>
  <c r="R56" i="1"/>
  <c r="R55" i="1"/>
  <c r="R54" i="1"/>
  <c r="R53" i="1"/>
  <c r="R52" i="1"/>
  <c r="R51" i="1"/>
  <c r="R50" i="1"/>
  <c r="R49" i="1"/>
  <c r="R48" i="1"/>
  <c r="R47" i="1"/>
  <c r="R46" i="1"/>
  <c r="R45" i="1"/>
  <c r="R43" i="1"/>
  <c r="R42" i="1"/>
  <c r="R40" i="1"/>
  <c r="R39" i="1"/>
  <c r="R38" i="1"/>
  <c r="R36" i="1"/>
  <c r="R35" i="1"/>
  <c r="R34" i="1"/>
  <c r="R33" i="1"/>
  <c r="R32" i="1"/>
  <c r="R31" i="1"/>
  <c r="R30" i="1"/>
  <c r="R29" i="1"/>
  <c r="R28" i="1"/>
  <c r="R27" i="1"/>
  <c r="R25" i="1"/>
  <c r="R24" i="1"/>
  <c r="R23" i="1"/>
  <c r="R22" i="1"/>
  <c r="R21" i="1"/>
  <c r="R20" i="1"/>
  <c r="R19" i="1"/>
  <c r="R18" i="1"/>
  <c r="R17" i="1"/>
  <c r="R16" i="1"/>
  <c r="R15" i="1"/>
  <c r="R14" i="1"/>
  <c r="R13" i="1"/>
  <c r="R12" i="1"/>
  <c r="R11" i="1"/>
  <c r="R10" i="1"/>
  <c r="R9" i="1"/>
  <c r="R8" i="1"/>
  <c r="R7" i="1"/>
  <c r="R6" i="1"/>
  <c r="R5" i="1"/>
  <c r="R4" i="1"/>
  <c r="R3" i="1"/>
  <c r="R2" i="1"/>
  <c r="N2" i="1"/>
  <c r="AA77" i="1"/>
  <c r="AB77" i="1" s="1"/>
  <c r="AA66" i="1"/>
  <c r="AB66" i="1" s="1"/>
  <c r="AA82" i="1"/>
  <c r="AB82" i="1" s="1"/>
  <c r="AA98" i="1"/>
  <c r="AA97" i="1"/>
  <c r="AB97" i="1" s="1"/>
  <c r="AA46" i="1"/>
  <c r="AB46" i="1" s="1"/>
  <c r="AA12" i="1"/>
  <c r="AA87" i="1"/>
  <c r="AB87" i="1" s="1"/>
  <c r="AA71" i="1"/>
  <c r="AB71" i="1" s="1"/>
  <c r="AA55" i="1"/>
  <c r="AB55" i="1" s="1"/>
  <c r="AA39" i="1"/>
  <c r="AA23" i="1"/>
  <c r="AB23" i="1" s="1"/>
  <c r="AA5" i="1"/>
  <c r="AB5" i="1" s="1"/>
  <c r="AA90" i="1"/>
  <c r="AB90" i="1" s="1"/>
  <c r="AA74" i="1"/>
  <c r="AB74" i="1" s="1"/>
  <c r="AA58" i="1"/>
  <c r="AA42" i="1"/>
  <c r="AB42" i="1" s="1"/>
  <c r="AA73" i="1"/>
  <c r="AB73" i="1" s="1"/>
  <c r="AA9" i="1"/>
  <c r="AB9" i="1" s="1"/>
  <c r="AA88" i="1"/>
  <c r="AB88" i="1" s="1"/>
  <c r="AA72" i="1"/>
  <c r="AB72" i="1" s="1"/>
  <c r="AA8" i="1"/>
  <c r="AB8" i="1" s="1"/>
  <c r="AA86" i="1"/>
  <c r="AB86" i="1" s="1"/>
  <c r="AA70" i="1"/>
  <c r="AB70" i="1" s="1"/>
  <c r="AA54" i="1"/>
  <c r="AB54" i="1" s="1"/>
  <c r="AA38" i="1"/>
  <c r="AB38" i="1" s="1"/>
  <c r="AA101" i="1"/>
  <c r="AB101" i="1" s="1"/>
  <c r="AA85" i="1"/>
  <c r="AA69" i="1"/>
  <c r="AB69" i="1" s="1"/>
  <c r="AA53" i="1"/>
  <c r="AB53" i="1" s="1"/>
  <c r="AA37" i="1"/>
  <c r="AB37" i="1"/>
  <c r="AA21" i="1"/>
  <c r="AB21" i="1" s="1"/>
  <c r="AA84" i="1"/>
  <c r="AB84" i="1" s="1"/>
  <c r="AA68" i="1"/>
  <c r="AB68" i="1" s="1"/>
  <c r="AA52" i="1"/>
  <c r="AB52" i="1" s="1"/>
  <c r="AA36" i="1"/>
  <c r="AB36" i="1" s="1"/>
  <c r="AA20" i="1"/>
  <c r="AB20" i="1"/>
  <c r="AA4" i="1"/>
  <c r="AB4" i="1" s="1"/>
  <c r="AA99" i="1"/>
  <c r="AB99" i="1" s="1"/>
  <c r="AA83" i="1"/>
  <c r="AB83" i="1" s="1"/>
  <c r="AA67" i="1"/>
  <c r="AB67" i="1" s="1"/>
  <c r="AA51" i="1"/>
  <c r="AB51" i="1" s="1"/>
  <c r="AA35" i="1"/>
  <c r="AB35" i="1" s="1"/>
  <c r="AA19" i="1"/>
  <c r="AB19" i="1" s="1"/>
  <c r="AA3" i="1"/>
  <c r="AA50" i="1"/>
  <c r="AB50" i="1" s="1"/>
  <c r="AA34" i="1"/>
  <c r="AB34" i="1" s="1"/>
  <c r="AA18" i="1"/>
  <c r="AB18" i="1" s="1"/>
  <c r="AA2" i="1"/>
  <c r="AB2" i="1" s="1"/>
  <c r="C14" i="12"/>
  <c r="C10" i="12"/>
  <c r="C6" i="12"/>
  <c r="C2" i="12"/>
  <c r="G61" i="1" l="1"/>
  <c r="AC61" i="1" s="1"/>
  <c r="Z61" i="1"/>
  <c r="X30" i="1"/>
  <c r="X28" i="1"/>
  <c r="Z56" i="1"/>
  <c r="G77" i="1"/>
  <c r="AC77" i="1" s="1"/>
  <c r="X13" i="1"/>
  <c r="Z60" i="1"/>
  <c r="X31" i="1"/>
  <c r="X29" i="1"/>
  <c r="X14" i="1"/>
  <c r="G78" i="1"/>
  <c r="AC78" i="1" s="1"/>
  <c r="X78" i="1"/>
  <c r="Z78" i="1"/>
  <c r="X64" i="1"/>
  <c r="Z64" i="1"/>
  <c r="X50" i="1"/>
  <c r="G50" i="1"/>
  <c r="AC50" i="1" s="1"/>
  <c r="Z50" i="1"/>
  <c r="X80" i="1"/>
  <c r="G80" i="1"/>
  <c r="AC80" i="1" s="1"/>
  <c r="Z79" i="1"/>
  <c r="X79" i="1"/>
  <c r="G79" i="1"/>
  <c r="AC79" i="1" s="1"/>
  <c r="G51" i="1"/>
  <c r="Z100" i="1"/>
  <c r="Z14" i="1"/>
  <c r="G30" i="1"/>
  <c r="AC30" i="1" s="1"/>
  <c r="Z93" i="1"/>
  <c r="Z13" i="1"/>
  <c r="G29" i="1"/>
  <c r="AC29" i="1" s="1"/>
  <c r="Z31" i="1"/>
  <c r="X93" i="1"/>
  <c r="Z92" i="1"/>
  <c r="G96" i="1"/>
  <c r="AC96" i="1" s="1"/>
  <c r="G28" i="1"/>
  <c r="AC28" i="1" s="1"/>
  <c r="X83" i="1"/>
  <c r="G81" i="1"/>
  <c r="AC81" i="1" s="1"/>
  <c r="G52" i="1"/>
  <c r="X92" i="1"/>
  <c r="Z91" i="1"/>
  <c r="G83" i="1"/>
  <c r="X72" i="1"/>
  <c r="Z4" i="1"/>
  <c r="G4" i="1"/>
  <c r="AC4" i="1" s="1"/>
  <c r="X4" i="1"/>
  <c r="G3" i="1"/>
  <c r="Z3" i="1"/>
  <c r="X3" i="1"/>
  <c r="X82" i="1"/>
  <c r="Z82" i="1"/>
  <c r="G82" i="1"/>
  <c r="AC82" i="1" s="1"/>
  <c r="G11" i="1"/>
  <c r="AC11" i="1" s="1"/>
  <c r="Z11" i="1"/>
  <c r="X11" i="1"/>
  <c r="Z19" i="1"/>
  <c r="X19" i="1"/>
  <c r="G19" i="1"/>
  <c r="G40" i="1"/>
  <c r="AC40" i="1" s="1"/>
  <c r="X40" i="1"/>
  <c r="Z40" i="1"/>
  <c r="Z39" i="1"/>
  <c r="G39" i="1"/>
  <c r="AC39" i="1" s="1"/>
  <c r="X39" i="1"/>
  <c r="Z68" i="1"/>
  <c r="X68" i="1"/>
  <c r="G68" i="1"/>
  <c r="AC35" i="1" s="1"/>
  <c r="Z38" i="1"/>
  <c r="G38" i="1"/>
  <c r="AC38" i="1" s="1"/>
  <c r="X38" i="1"/>
  <c r="Z67" i="1"/>
  <c r="X67" i="1"/>
  <c r="G67" i="1"/>
  <c r="Z7" i="1"/>
  <c r="X7" i="1"/>
  <c r="G7" i="1"/>
  <c r="AC7" i="1" s="1"/>
  <c r="X66" i="1"/>
  <c r="Z66" i="1"/>
  <c r="G66" i="1"/>
  <c r="AC66" i="1" s="1"/>
  <c r="G89" i="1"/>
  <c r="AC89" i="1" s="1"/>
  <c r="Z89" i="1"/>
  <c r="X89" i="1"/>
  <c r="G90" i="1"/>
  <c r="AC90" i="1" s="1"/>
  <c r="Z90" i="1"/>
  <c r="X90" i="1"/>
  <c r="G88" i="1"/>
  <c r="AC88" i="1" s="1"/>
  <c r="Z88" i="1"/>
  <c r="X88" i="1"/>
  <c r="G59" i="1"/>
  <c r="AC59" i="1" s="1"/>
  <c r="X59" i="1"/>
  <c r="Z59" i="1"/>
  <c r="G58" i="1"/>
  <c r="AC58" i="1" s="1"/>
  <c r="X58" i="1"/>
  <c r="Z58" i="1"/>
  <c r="Z2" i="1"/>
  <c r="G94" i="1"/>
  <c r="AC94" i="1" s="1"/>
  <c r="X2" i="1"/>
  <c r="G95" i="1"/>
  <c r="G2" i="1"/>
  <c r="Z94" i="1"/>
  <c r="G57" i="1"/>
  <c r="AC57" i="1" s="1"/>
  <c r="X57" i="1"/>
  <c r="Z57" i="1"/>
  <c r="G41" i="1"/>
  <c r="AC41" i="1" s="1"/>
  <c r="X41" i="1"/>
  <c r="Z41" i="1"/>
  <c r="G25" i="1"/>
  <c r="AC25" i="1" s="1"/>
  <c r="X25" i="1"/>
  <c r="Z25" i="1"/>
  <c r="G74" i="1"/>
  <c r="AC74" i="1" s="1"/>
  <c r="X74" i="1"/>
  <c r="Z74" i="1"/>
  <c r="Z87" i="1"/>
  <c r="G87" i="1"/>
  <c r="AC87" i="1" s="1"/>
  <c r="X87" i="1"/>
  <c r="Z47" i="1"/>
  <c r="G47" i="1"/>
  <c r="AC47" i="1" s="1"/>
  <c r="X47" i="1"/>
  <c r="Z69" i="1"/>
  <c r="Z95" i="1"/>
  <c r="G10" i="1"/>
  <c r="AC10" i="1" s="1"/>
  <c r="Z10" i="1"/>
  <c r="G27" i="1"/>
  <c r="AC27" i="1" s="1"/>
  <c r="Z27" i="1"/>
  <c r="X27" i="1"/>
  <c r="G9" i="1"/>
  <c r="AC9" i="1" s="1"/>
  <c r="Z9" i="1"/>
  <c r="X37" i="1"/>
  <c r="G24" i="1"/>
  <c r="AC24" i="1" s="1"/>
  <c r="X24" i="1"/>
  <c r="G26" i="1"/>
  <c r="AC26" i="1" s="1"/>
  <c r="X26" i="1"/>
  <c r="X71" i="1"/>
  <c r="Z26" i="1"/>
  <c r="Z23" i="1"/>
  <c r="G23" i="1"/>
  <c r="AC23" i="1" s="1"/>
  <c r="X23" i="1"/>
  <c r="X69" i="1"/>
  <c r="Z24" i="1"/>
  <c r="Z53" i="1"/>
  <c r="X53" i="1"/>
  <c r="Z21" i="1"/>
  <c r="G21" i="1"/>
  <c r="AC21" i="1" s="1"/>
  <c r="X21" i="1"/>
  <c r="Z101" i="1"/>
  <c r="X101" i="1"/>
  <c r="Z86" i="1"/>
  <c r="G86" i="1"/>
  <c r="AC86" i="1" s="1"/>
  <c r="X86" i="1"/>
  <c r="X34" i="1"/>
  <c r="G34" i="1"/>
  <c r="AC34" i="1" s="1"/>
  <c r="X61" i="1"/>
  <c r="Z15" i="1"/>
  <c r="G37" i="1"/>
  <c r="AC37" i="1" s="1"/>
  <c r="X99" i="1"/>
  <c r="Z99" i="1"/>
  <c r="Z6" i="1"/>
  <c r="X6" i="1"/>
  <c r="G6" i="1"/>
  <c r="AC6" i="1" s="1"/>
  <c r="G84" i="1"/>
  <c r="AC84" i="1" s="1"/>
  <c r="Z84" i="1"/>
  <c r="X84" i="1"/>
  <c r="X32" i="1"/>
  <c r="G32" i="1"/>
  <c r="AC32" i="1" s="1"/>
  <c r="Z5" i="1"/>
  <c r="X5" i="1"/>
  <c r="G5" i="1"/>
  <c r="AC5" i="1" s="1"/>
  <c r="G42" i="1"/>
  <c r="AC42" i="1" s="1"/>
  <c r="Z42" i="1"/>
  <c r="Z80" i="1"/>
  <c r="G101" i="1"/>
  <c r="G69" i="1"/>
  <c r="AC69" i="1" s="1"/>
  <c r="X63" i="1"/>
  <c r="G63" i="1"/>
  <c r="AC63" i="1" s="1"/>
  <c r="G75" i="1"/>
  <c r="AC75" i="1" s="1"/>
  <c r="X75" i="1"/>
  <c r="Z75" i="1"/>
  <c r="X18" i="1"/>
  <c r="Z18" i="1"/>
  <c r="X55" i="1"/>
  <c r="G100" i="1"/>
  <c r="G55" i="1"/>
  <c r="AC55" i="1" s="1"/>
  <c r="G18" i="1"/>
  <c r="AC18" i="1" s="1"/>
  <c r="X62" i="1"/>
  <c r="G62" i="1"/>
  <c r="AC62" i="1" s="1"/>
  <c r="Z46" i="1"/>
  <c r="G46" i="1"/>
  <c r="AC46" i="1" s="1"/>
  <c r="X46" i="1"/>
  <c r="X76" i="1"/>
  <c r="Z76" i="1"/>
  <c r="X17" i="1"/>
  <c r="Z17" i="1"/>
  <c r="X42" i="1"/>
  <c r="X12" i="1"/>
  <c r="Z36" i="1"/>
  <c r="G99" i="1"/>
  <c r="G17" i="1"/>
  <c r="AC17" i="1" s="1"/>
  <c r="X98" i="1"/>
  <c r="Z98" i="1"/>
  <c r="X48" i="1"/>
  <c r="Z48" i="1"/>
  <c r="X16" i="1"/>
  <c r="Z16" i="1"/>
  <c r="Z77" i="1"/>
  <c r="Z35" i="1"/>
  <c r="G98" i="1"/>
  <c r="AC98" i="1" s="1"/>
  <c r="G53" i="1"/>
  <c r="AC53" i="1" s="1"/>
  <c r="G16" i="1"/>
  <c r="AC16" i="1" s="1"/>
  <c r="G44" i="1"/>
  <c r="AC44" i="1" s="1"/>
  <c r="X44" i="1"/>
  <c r="Z44" i="1"/>
  <c r="X97" i="1"/>
  <c r="Z97" i="1"/>
  <c r="G97" i="1"/>
  <c r="AC97" i="1" s="1"/>
  <c r="G15" i="1"/>
  <c r="AC15" i="1" s="1"/>
  <c r="G43" i="1"/>
  <c r="AC43" i="1" s="1"/>
  <c r="X43" i="1"/>
  <c r="Z43" i="1"/>
  <c r="AC67" i="1"/>
  <c r="G8" i="1"/>
  <c r="Z8" i="1"/>
  <c r="X8" i="1"/>
  <c r="X36" i="1"/>
  <c r="X70" i="1"/>
  <c r="X35" i="1"/>
  <c r="Z22" i="1"/>
  <c r="G22" i="1"/>
  <c r="X22" i="1"/>
  <c r="G20" i="1"/>
  <c r="AC20" i="1" s="1"/>
  <c r="X20" i="1"/>
  <c r="Z20" i="1"/>
  <c r="Z85" i="1"/>
  <c r="G85" i="1"/>
  <c r="AC85" i="1" s="1"/>
  <c r="X85" i="1"/>
  <c r="X33" i="1"/>
  <c r="G33" i="1"/>
  <c r="AC33" i="1" s="1"/>
  <c r="X60" i="1"/>
  <c r="Z52" i="1"/>
  <c r="Z51" i="1"/>
  <c r="Z12" i="1"/>
  <c r="G71" i="1"/>
  <c r="AC71" i="1" s="1"/>
  <c r="Z81" i="1"/>
  <c r="G70" i="1"/>
  <c r="AC70" i="1" s="1"/>
  <c r="Z54" i="1"/>
  <c r="X54" i="1"/>
  <c r="X91" i="1"/>
  <c r="X56" i="1"/>
  <c r="G45" i="1"/>
  <c r="AC45" i="1" s="1"/>
  <c r="X45" i="1"/>
  <c r="Z45" i="1"/>
  <c r="Z96" i="1"/>
  <c r="Z73" i="1"/>
  <c r="X49" i="1"/>
  <c r="Z49" i="1"/>
  <c r="X73" i="1"/>
  <c r="Z72" i="1"/>
  <c r="G65" i="1"/>
  <c r="AC65" i="1" s="1"/>
  <c r="Z65" i="1"/>
  <c r="G64" i="1"/>
  <c r="AC64" i="1" s="1"/>
  <c r="AC13" i="1"/>
  <c r="AC93" i="1"/>
  <c r="AC14" i="1"/>
  <c r="AC31" i="1"/>
  <c r="AC22" i="1"/>
  <c r="AC54" i="1"/>
  <c r="AC56" i="1"/>
  <c r="AC36" i="1"/>
  <c r="AB85" i="1"/>
  <c r="AC73" i="1"/>
  <c r="AB98" i="1"/>
  <c r="AB39" i="1"/>
  <c r="AB26" i="1"/>
  <c r="AB3" i="1"/>
  <c r="AB58" i="1"/>
  <c r="AB12" i="1"/>
  <c r="AB32" i="1"/>
  <c r="AC3" i="1" l="1"/>
  <c r="AC8" i="1"/>
  <c r="AC51" i="1"/>
  <c r="AC52" i="1"/>
  <c r="AC95" i="1"/>
  <c r="AC83" i="1"/>
  <c r="AC101" i="1"/>
  <c r="AC2" i="1"/>
  <c r="Y2" i="1"/>
  <c r="AC19" i="1"/>
  <c r="AC100" i="1"/>
  <c r="AC99" i="1"/>
  <c r="AC6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<sst xmlns="http://schemas.openxmlformats.org/spreadsheetml/2006/main" count="726" uniqueCount="281">
  <si>
    <t>ID</t>
  </si>
  <si>
    <t xml:space="preserve"> Customer_Name</t>
  </si>
  <si>
    <t>Order_ID</t>
  </si>
  <si>
    <t>Order_Date</t>
  </si>
  <si>
    <t xml:space="preserve"> Product</t>
  </si>
  <si>
    <t>Category</t>
  </si>
  <si>
    <t>Quantity</t>
  </si>
  <si>
    <t>Price</t>
  </si>
  <si>
    <t>Payment_Method</t>
  </si>
  <si>
    <t>Status</t>
  </si>
  <si>
    <t>Total</t>
  </si>
  <si>
    <t>Customer_100</t>
  </si>
  <si>
    <t>ORD-41285</t>
  </si>
  <si>
    <t>Blender</t>
  </si>
  <si>
    <t>Home</t>
  </si>
  <si>
    <t>Cash on Delivery</t>
  </si>
  <si>
    <t>Shipped</t>
  </si>
  <si>
    <t>Customer_101</t>
  </si>
  <si>
    <t>ORD-35783</t>
  </si>
  <si>
    <t>Smartphone</t>
  </si>
  <si>
    <t>Electronics</t>
  </si>
  <si>
    <t>PayPal</t>
  </si>
  <si>
    <t>Processing</t>
  </si>
  <si>
    <t>Customer_102</t>
  </si>
  <si>
    <t>ORD-84355</t>
  </si>
  <si>
    <t>Tennis Racket</t>
  </si>
  <si>
    <t>Sports</t>
  </si>
  <si>
    <t>Delivered</t>
  </si>
  <si>
    <t>Customer_103</t>
  </si>
  <si>
    <t>ORD-57811</t>
  </si>
  <si>
    <t>Science</t>
  </si>
  <si>
    <t>Books</t>
  </si>
  <si>
    <t>Customer_104</t>
  </si>
  <si>
    <t>ORD-93614</t>
  </si>
  <si>
    <t>Biography</t>
  </si>
  <si>
    <t>Customer_105</t>
  </si>
  <si>
    <t>ORD-22442</t>
  </si>
  <si>
    <t>Cancelled</t>
  </si>
  <si>
    <t>Customer_106</t>
  </si>
  <si>
    <t>ORD-25885</t>
  </si>
  <si>
    <t>Bank Transfer</t>
  </si>
  <si>
    <t>Customer_107</t>
  </si>
  <si>
    <t>ORD-89122</t>
  </si>
  <si>
    <t>Returned</t>
  </si>
  <si>
    <t>Customer_108</t>
  </si>
  <si>
    <t>ORD-64400</t>
  </si>
  <si>
    <t>Customer_109</t>
  </si>
  <si>
    <t>ORD-18512</t>
  </si>
  <si>
    <t>Credit Card</t>
  </si>
  <si>
    <t>Customer_110</t>
  </si>
  <si>
    <t>ORD-61020</t>
  </si>
  <si>
    <t>Basketball</t>
  </si>
  <si>
    <t>Customer_111</t>
  </si>
  <si>
    <t>ORD-72349</t>
  </si>
  <si>
    <t>Comics</t>
  </si>
  <si>
    <t>Customer_112</t>
  </si>
  <si>
    <t>ORD-80867</t>
  </si>
  <si>
    <t>Shoes</t>
  </si>
  <si>
    <t>Clothing</t>
  </si>
  <si>
    <t>Customer_113</t>
  </si>
  <si>
    <t>ORD-23994</t>
  </si>
  <si>
    <t>Fiction</t>
  </si>
  <si>
    <t>Customer_114</t>
  </si>
  <si>
    <t>ORD-77417</t>
  </si>
  <si>
    <t>Jan 5 2023</t>
  </si>
  <si>
    <t>Customer_115</t>
  </si>
  <si>
    <t>ORD-72778</t>
  </si>
  <si>
    <t>Customer_116</t>
  </si>
  <si>
    <t>ORD-63660</t>
  </si>
  <si>
    <t>Microwave</t>
  </si>
  <si>
    <t>Customer_117</t>
  </si>
  <si>
    <t>ORD-72751</t>
  </si>
  <si>
    <t>Customer_118</t>
  </si>
  <si>
    <t>ORD-96061</t>
  </si>
  <si>
    <t>Customer_119</t>
  </si>
  <si>
    <t>ORD-76016</t>
  </si>
  <si>
    <t>Customer_120</t>
  </si>
  <si>
    <t>ORD-14659</t>
  </si>
  <si>
    <t>Yoga Mat</t>
  </si>
  <si>
    <t>Customer_121</t>
  </si>
  <si>
    <t>ORD-80067</t>
  </si>
  <si>
    <t>Customer_122</t>
  </si>
  <si>
    <t>ORD-21443</t>
  </si>
  <si>
    <t>Customer_123</t>
  </si>
  <si>
    <t>ORD-11314</t>
  </si>
  <si>
    <t>Vacuum</t>
  </si>
  <si>
    <t>Customer_124</t>
  </si>
  <si>
    <t>ORD-46136</t>
  </si>
  <si>
    <t>Customer_125</t>
  </si>
  <si>
    <t>ORD-23202</t>
  </si>
  <si>
    <t>Customer_126</t>
  </si>
  <si>
    <t>ORD-11261</t>
  </si>
  <si>
    <t>Customer_127</t>
  </si>
  <si>
    <t>ORD-65482</t>
  </si>
  <si>
    <t>Customer_128</t>
  </si>
  <si>
    <t>ORD-12270</t>
  </si>
  <si>
    <t>Lamp</t>
  </si>
  <si>
    <t>Customer_129</t>
  </si>
  <si>
    <t>ORD-48863</t>
  </si>
  <si>
    <t>Customer_130</t>
  </si>
  <si>
    <t>ORD-34007</t>
  </si>
  <si>
    <t>Customer_131</t>
  </si>
  <si>
    <t>ORD-91396</t>
  </si>
  <si>
    <t>Customer_132</t>
  </si>
  <si>
    <t>ORD-40186</t>
  </si>
  <si>
    <t>Customer_133</t>
  </si>
  <si>
    <t>ORD-68182</t>
  </si>
  <si>
    <t>Customer_134</t>
  </si>
  <si>
    <t>ORD-16585</t>
  </si>
  <si>
    <t>T-shirt</t>
  </si>
  <si>
    <t>Customer_135</t>
  </si>
  <si>
    <t>ORD-33656</t>
  </si>
  <si>
    <t>Smartwatch</t>
  </si>
  <si>
    <t>Customer_136</t>
  </si>
  <si>
    <t>ORD-20985</t>
  </si>
  <si>
    <t>Headphones</t>
  </si>
  <si>
    <t>Customer_137</t>
  </si>
  <si>
    <t>ORD-91254</t>
  </si>
  <si>
    <t>Customer_138</t>
  </si>
  <si>
    <t>ORD-34319</t>
  </si>
  <si>
    <t>Customer_139</t>
  </si>
  <si>
    <t>ORD-38418</t>
  </si>
  <si>
    <t>Customer_140</t>
  </si>
  <si>
    <t>ORD-67096</t>
  </si>
  <si>
    <t>Customer_141</t>
  </si>
  <si>
    <t>ORD-45059</t>
  </si>
  <si>
    <t>Customer_142</t>
  </si>
  <si>
    <t>ORD-69018</t>
  </si>
  <si>
    <t>Customer_143</t>
  </si>
  <si>
    <t>ORD-14329</t>
  </si>
  <si>
    <t>Customer_144</t>
  </si>
  <si>
    <t>ORD-89452</t>
  </si>
  <si>
    <t>Football</t>
  </si>
  <si>
    <t>Customer_145</t>
  </si>
  <si>
    <t>ORD-75314</t>
  </si>
  <si>
    <t>Laptop</t>
  </si>
  <si>
    <t>Customer_146</t>
  </si>
  <si>
    <t>ORD-32755</t>
  </si>
  <si>
    <t>Customer_147</t>
  </si>
  <si>
    <t>ORD-80707</t>
  </si>
  <si>
    <t>Jacket</t>
  </si>
  <si>
    <t>Customer_148</t>
  </si>
  <si>
    <t>ORD-38423</t>
  </si>
  <si>
    <t>Customer_149</t>
  </si>
  <si>
    <t>ORD-95911</t>
  </si>
  <si>
    <t>Customer_150</t>
  </si>
  <si>
    <t>ORD-76902</t>
  </si>
  <si>
    <t>Customer_151</t>
  </si>
  <si>
    <t>ORD-56552</t>
  </si>
  <si>
    <t>Customer_152</t>
  </si>
  <si>
    <t>ORD-72869</t>
  </si>
  <si>
    <t>Customer_153</t>
  </si>
  <si>
    <t>ORD-29721</t>
  </si>
  <si>
    <t>Customer_154</t>
  </si>
  <si>
    <t>ORD-95990</t>
  </si>
  <si>
    <t>Customer_155</t>
  </si>
  <si>
    <t>ORD-20182</t>
  </si>
  <si>
    <t>shoes</t>
  </si>
  <si>
    <t>Customer_156</t>
  </si>
  <si>
    <t>ORD-34679</t>
  </si>
  <si>
    <t>Jeans</t>
  </si>
  <si>
    <t>Customer_157</t>
  </si>
  <si>
    <t>ORD-34407</t>
  </si>
  <si>
    <t>Customer_158</t>
  </si>
  <si>
    <t>ORD-35817</t>
  </si>
  <si>
    <t>Customer_159</t>
  </si>
  <si>
    <t>ORD-98162</t>
  </si>
  <si>
    <t>Customer_160</t>
  </si>
  <si>
    <t>ORD-96037</t>
  </si>
  <si>
    <t>Customer_161</t>
  </si>
  <si>
    <t>ORD-27653</t>
  </si>
  <si>
    <t>Customer_162</t>
  </si>
  <si>
    <t>ORD-27743</t>
  </si>
  <si>
    <t>Customer_163</t>
  </si>
  <si>
    <t>ORD-24378</t>
  </si>
  <si>
    <t>Customer_164</t>
  </si>
  <si>
    <t>ORD-23010</t>
  </si>
  <si>
    <t>Customer_165</t>
  </si>
  <si>
    <t>ORD-55695</t>
  </si>
  <si>
    <t>Customer_166</t>
  </si>
  <si>
    <t>ORD-97756</t>
  </si>
  <si>
    <t>Customer_167</t>
  </si>
  <si>
    <t>ORD-30329</t>
  </si>
  <si>
    <t>Customer_168</t>
  </si>
  <si>
    <t>ORD-53430</t>
  </si>
  <si>
    <t>Customer_169</t>
  </si>
  <si>
    <t>ORD-75539</t>
  </si>
  <si>
    <t>Customer_170</t>
  </si>
  <si>
    <t>ORD-21530</t>
  </si>
  <si>
    <t>Customer_171</t>
  </si>
  <si>
    <t>ORD-99790</t>
  </si>
  <si>
    <t>Customer_172</t>
  </si>
  <si>
    <t>ORD-48008</t>
  </si>
  <si>
    <t>Customer_173</t>
  </si>
  <si>
    <t>ORD-42171</t>
  </si>
  <si>
    <t>Customer_174</t>
  </si>
  <si>
    <t>ORD-16766</t>
  </si>
  <si>
    <t>Customer_175</t>
  </si>
  <si>
    <t>ORD-56651</t>
  </si>
  <si>
    <t>Customer_176</t>
  </si>
  <si>
    <t>ORD-95794</t>
  </si>
  <si>
    <t>Customer_177</t>
  </si>
  <si>
    <t>ORD-64136</t>
  </si>
  <si>
    <t>Customer_178</t>
  </si>
  <si>
    <t>ORD-89906</t>
  </si>
  <si>
    <t>Customer_179</t>
  </si>
  <si>
    <t>ORD-99328</t>
  </si>
  <si>
    <t>Customer_180</t>
  </si>
  <si>
    <t>ORD-86629</t>
  </si>
  <si>
    <t>Customer_181</t>
  </si>
  <si>
    <t>ORD-54481</t>
  </si>
  <si>
    <t>Customer_182</t>
  </si>
  <si>
    <t>ORD-79672</t>
  </si>
  <si>
    <t>Customer_183</t>
  </si>
  <si>
    <t>ORD-20916</t>
  </si>
  <si>
    <t>Customer_184</t>
  </si>
  <si>
    <t>ORD-67799</t>
  </si>
  <si>
    <t>Customer_185</t>
  </si>
  <si>
    <t>ORD-57123</t>
  </si>
  <si>
    <t>Customer_186</t>
  </si>
  <si>
    <t>ORD-90569</t>
  </si>
  <si>
    <t>Customer_187</t>
  </si>
  <si>
    <t>ORD-41292</t>
  </si>
  <si>
    <t>Customer_188</t>
  </si>
  <si>
    <t>ORD-58590</t>
  </si>
  <si>
    <t>Customer_189</t>
  </si>
  <si>
    <t>ORD-30627</t>
  </si>
  <si>
    <t>Customer_190</t>
  </si>
  <si>
    <t>ORD-38469</t>
  </si>
  <si>
    <t>Customer_191</t>
  </si>
  <si>
    <t>ORD-41810</t>
  </si>
  <si>
    <t>Customer_192</t>
  </si>
  <si>
    <t>ORD-35144</t>
  </si>
  <si>
    <t>abc</t>
  </si>
  <si>
    <t>4a</t>
  </si>
  <si>
    <t>Customer_193</t>
  </si>
  <si>
    <t>ORD-42475</t>
  </si>
  <si>
    <t>Customer_194</t>
  </si>
  <si>
    <t>ORD-69764</t>
  </si>
  <si>
    <t>Customer_195</t>
  </si>
  <si>
    <t>ORD-82876</t>
  </si>
  <si>
    <t>Customer_196</t>
  </si>
  <si>
    <t>ORD-78384</t>
  </si>
  <si>
    <t>Customer_197</t>
  </si>
  <si>
    <t>ORD-79139</t>
  </si>
  <si>
    <t>Customer_198</t>
  </si>
  <si>
    <t>ORD-14608</t>
  </si>
  <si>
    <t>Customer_199</t>
  </si>
  <si>
    <t>ORD-82922</t>
  </si>
  <si>
    <t>Row Labels</t>
  </si>
  <si>
    <t>Grand Total</t>
  </si>
  <si>
    <t>Sum of Total</t>
  </si>
  <si>
    <t>Count of Order_ID</t>
  </si>
  <si>
    <t>2025</t>
  </si>
  <si>
    <t>Column Labels</t>
  </si>
  <si>
    <t>Category Revenue</t>
  </si>
  <si>
    <t>Count</t>
  </si>
  <si>
    <t>Revenue</t>
  </si>
  <si>
    <t xml:space="preserve">Category </t>
  </si>
  <si>
    <t>Order Status</t>
  </si>
  <si>
    <t>May</t>
  </si>
  <si>
    <t>Jun</t>
  </si>
  <si>
    <t>Nov</t>
  </si>
  <si>
    <t>Monthly Revenue 2025</t>
  </si>
  <si>
    <t>Top 10 Products</t>
  </si>
  <si>
    <t>Methods</t>
  </si>
  <si>
    <t>Payment Methods</t>
  </si>
  <si>
    <t>category x Status Revenue Matrix</t>
  </si>
  <si>
    <t>Clothing Products</t>
  </si>
  <si>
    <t>Products</t>
  </si>
  <si>
    <t>Feb</t>
  </si>
  <si>
    <t>Jul</t>
  </si>
  <si>
    <t>Aug</t>
  </si>
  <si>
    <t>Sep</t>
  </si>
  <si>
    <t>Oct</t>
  </si>
  <si>
    <t>(All)</t>
  </si>
  <si>
    <t>Jan</t>
  </si>
  <si>
    <t>Mar</t>
  </si>
  <si>
    <t>Apr</t>
  </si>
  <si>
    <t>Sum of Quantity</t>
  </si>
  <si>
    <t>Average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</si>
</sst>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family val="2"/>
      <scheme val="minor"/>
    </font>
    <font>
      <sz val="8"/>
      <name val="Calibri"/>
      <family val="2"/>
      <scheme val="minor"/>
    </font>
    <font>
      <b/>
      <sz val="11"/>
      <color theme="0"/>
      <name val="Calibri"/>
      <family val="2"/>
      <scheme val="minor"/>
    </font>
    <font>
      <sz val="11"/>
      <color theme="1"/>
      <name val="Calibri"/>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gradientFill degree="180">
        <stop position="0">
          <color theme="0"/>
        </stop>
        <stop position="1">
          <color rgb="FF9532C2"/>
        </stop>
      </gradientFill>
    </fill>
    <fill>
      <patternFill patternType="solid">
        <fgColor rgb="FFD93BAC"/>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14" fontId="0" fillId="0" borderId="0" xfId="0" applyNumberFormat="1"/>
    <xf numFmtId="164" fontId="0" fillId="0" borderId="0" xfId="0" applyNumberFormat="1"/>
    <xf numFmtId="0" fontId="2" fillId="2" borderId="1" xfId="0" applyFont="1" applyFill="1" applyBorder="1"/>
    <xf numFmtId="14" fontId="0" fillId="3" borderId="1" xfId="0" applyNumberFormat="1" applyFill="1" applyBorder="1"/>
    <xf numFmtId="14" fontId="0" fillId="0" borderId="1" xfId="0" applyNumberFormat="1" applyBorder="1"/>
    <xf numFmtId="2" fontId="0" fillId="0" borderId="0" xfId="0" applyNumberFormat="1"/>
    <xf numFmtId="0" fontId="0" fillId="0" borderId="0" xfId="0" pivotButton="1"/>
    <xf numFmtId="0" fontId="0" fillId="0" borderId="0" xfId="0" applyAlignment="1">
      <alignment horizontal="left"/>
    </xf>
    <xf numFmtId="0" fontId="0" fillId="4" borderId="0" xfId="0" applyFill="1" applyAlignment="1">
      <alignment horizontal="center"/>
    </xf>
    <xf numFmtId="0" fontId="0" fillId="0" borderId="0" xfId="0" applyAlignment="1">
      <alignment horizontal="left" indent="1"/>
    </xf>
    <xf numFmtId="0" fontId="0" fillId="4" borderId="0" xfId="0" applyFill="1"/>
    <xf numFmtId="0" fontId="0" fillId="5" borderId="0" xfId="0" applyFill="1"/>
    <xf numFmtId="0" fontId="0" fillId="6" borderId="0" xfId="0" applyFill="1"/>
    <xf numFmtId="0" fontId="0" fillId="8" borderId="0" xfId="0" applyFill="1"/>
    <xf numFmtId="2" fontId="3" fillId="0" borderId="0" xfId="0" applyNumberFormat="1" applyFont="1"/>
    <xf numFmtId="0" fontId="0" fillId="7" borderId="0" xfId="0" applyFill="1" applyAlignment="1">
      <alignment horizontal="center"/>
    </xf>
    <xf numFmtId="0" fontId="0" fillId="4" borderId="0" xfId="0" applyFill="1" applyAlignment="1">
      <alignment horizontal="center"/>
    </xf>
    <xf numFmtId="0" fontId="0" fillId="0" borderId="0" xfId="0" applyNumberFormat="1"/>
  </cellXfs>
  <cellStyles count="1">
    <cellStyle name="Normal" xfId="0" builtinId="0"/>
  </cellStyles>
  <dxfs count="49">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164" formatCode="&quot;₹&quot;\ #,##0.00"/>
    </dxf>
    <dxf>
      <numFmt numFmtId="2" formatCode="0.00"/>
    </dxf>
    <dxf>
      <font>
        <name val="Calibri"/>
        <scheme val="minor"/>
      </font>
    </dxf>
    <dxf>
      <numFmt numFmtId="2" formatCode="0.00"/>
    </dxf>
    <dxf>
      <numFmt numFmtId="164" formatCode="&quot;₹&quot;\ #,##0.00"/>
    </dxf>
    <dxf>
      <numFmt numFmtId="164" formatCode="&quot;₹&quot;\ #,##0.00"/>
    </dxf>
    <dxf>
      <numFmt numFmtId="2" formatCode="0.00"/>
    </dxf>
    <dxf>
      <numFmt numFmtId="19" formatCode="dd/mm/yyyy"/>
    </dxf>
    <dxf>
      <font>
        <b/>
        <sz val="11"/>
        <color theme="1"/>
      </font>
    </dxf>
    <dxf>
      <fill>
        <gradientFill degree="90">
          <stop position="0">
            <color rgb="FFF5A5D1"/>
          </stop>
          <stop position="1">
            <color theme="0"/>
          </stop>
        </gradientFill>
      </fill>
      <border>
        <left style="thin">
          <color theme="1" tint="-0.499984740745262"/>
        </left>
        <right style="thin">
          <color theme="1" tint="-0.499984740745262"/>
        </right>
        <top style="thin">
          <color theme="1" tint="-0.499984740745262"/>
        </top>
        <bottom style="thin">
          <color theme="1" tint="-0.499984740745262"/>
        </bottom>
      </border>
    </dxf>
    <dxf>
      <fill>
        <gradientFill degree="270">
          <stop position="0">
            <color theme="0"/>
          </stop>
          <stop position="1">
            <color rgb="FFF7B3E7"/>
          </stop>
        </gradientFill>
      </fill>
    </dxf>
    <dxf>
      <fill>
        <gradientFill degree="270">
          <stop position="0">
            <color theme="0"/>
          </stop>
          <stop position="1">
            <color rgb="FFF494DD"/>
          </stop>
        </gradientFill>
      </fill>
    </dxf>
    <dxf>
      <fill>
        <patternFill>
          <bgColor rgb="FFFFFF00"/>
        </patternFill>
      </fill>
    </dxf>
  </dxfs>
  <tableStyles count="5" defaultTableStyle="TableStyleMedium2" defaultPivotStyle="PivotStyleLight16">
    <tableStyle name="Slicer Style 1" pivot="0" table="0" count="1" xr9:uid="{ADDCEBEF-CBB1-4854-BE58-13E21905C0AA}">
      <tableStyleElement type="headerRow" dxfId="48"/>
    </tableStyle>
    <tableStyle name="Slicer Style 2" pivot="0" table="0" count="1" xr9:uid="{62BD3E48-9612-4E14-9A5E-8B992C64D61C}"/>
    <tableStyle name="Slicer Style 3" pivot="0" table="0" count="2" xr9:uid="{A4D154F3-FDD4-480F-A808-9B0C54C4D342}">
      <tableStyleElement type="wholeTable" dxfId="47"/>
    </tableStyle>
    <tableStyle name="Slicer Style 4" pivot="0" table="0" count="1" xr9:uid="{16454F4A-24A0-4753-8DE6-884594E8A1CF}">
      <tableStyleElement type="wholeTable" dxfId="46"/>
    </tableStyle>
    <tableStyle name="Timeline Style 4" pivot="0" table="0" count="8" xr9:uid="{3CBEAD52-283A-4EEA-A94A-C5000AE8D38A}">
      <tableStyleElement type="wholeTable" dxfId="45"/>
      <tableStyleElement type="headerRow" dxfId="44"/>
    </tableStyle>
  </tableStyles>
  <colors>
    <mruColors>
      <color rgb="FFD93BAC"/>
      <color rgb="FFF7B3E7"/>
      <color rgb="FFF282D7"/>
      <color rgb="FF9532C2"/>
      <color rgb="FFB143A4"/>
      <color rgb="FFF494DD"/>
      <color rgb="FFF5A5D1"/>
      <color rgb="FFE93F9C"/>
      <color rgb="FFFF66FF"/>
      <color rgb="FFE056AF"/>
    </mruColors>
  </colors>
  <extLst>
    <ext xmlns:x14="http://schemas.microsoft.com/office/spreadsheetml/2009/9/main" uri="{46F421CA-312F-682f-3DD2-61675219B42D}">
      <x14:dxfs count="2">
        <dxf>
          <fill>
            <gradientFill degree="270">
              <stop position="0">
                <color theme="0"/>
              </stop>
              <stop position="1">
                <color rgb="FF9532C2"/>
              </stop>
            </gradientFill>
          </fill>
        </dxf>
        <dxf>
          <fill>
            <patternFill>
              <bgColor rgb="FF7030A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 name="Slicer Style 4"/>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gradientFill degree="270">
              <stop position="0">
                <color rgb="FF9532C2"/>
              </stop>
              <stop position="1">
                <color rgb="FF9532C2"/>
              </stop>
            </gradient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Order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'Pivot-Table'!$H$2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A6-4D03-A3AE-25236E1EBDF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A6-4D03-A3AE-25236E1EBDF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DA6-4D03-A3AE-25236E1EBDF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DA6-4D03-A3AE-25236E1EBDF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DA6-4D03-A3AE-25236E1EBD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'Pivot-Table'!$G$3:$G$8</c:f>
              <c:strCache>
                <c:ptCount val="5"/>
                <c:pt idx="0">
                  <c:v>Cancelled</c:v>
                </c:pt>
                <c:pt idx="1">
                  <c:v>Delivered</c:v>
                </c:pt>
                <c:pt idx="2">
                  <c:v>Processing</c:v>
                </c:pt>
                <c:pt idx="3">
                  <c:v>Returned</c:v>
                </c:pt>
                <c:pt idx="4">
                  <c:v>Shipped</c:v>
                </c:pt>
              </c:strCache>
            </c:strRef>
          </c:cat>
          <c:val>
            <c:numRef>
              <c:f>'Pivot-Table'!$H$3:$H$8</c:f>
              <c:numCache>
                <c:formatCode>"₹"\ #,##0.00</c:formatCode>
                <c:ptCount val="5"/>
                <c:pt idx="0">
                  <c:v>31159.337802197802</c:v>
                </c:pt>
                <c:pt idx="1">
                  <c:v>16782.162813888241</c:v>
                </c:pt>
                <c:pt idx="2">
                  <c:v>55051.503773673132</c:v>
                </c:pt>
                <c:pt idx="3">
                  <c:v>44017.603262801022</c:v>
                </c:pt>
                <c:pt idx="4">
                  <c:v>36067.073390226789</c:v>
                </c:pt>
              </c:numCache>
            </c:numRef>
          </c:val>
          <c:extLst>
            <c:ext xmlns:c16="http://schemas.microsoft.com/office/drawing/2014/chart" uri="{C3380CC4-5D6E-409C-BE32-E72D297353CC}">
              <c16:uniqueId val="{00000000-677C-4B2F-AB2C-30EB7E68141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2700918635170606"/>
          <c:y val="0.41942678851890502"/>
          <c:w val="0.13323080708661417"/>
          <c:h val="0.3310077580663862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Trend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'Pivot-Table'!$L$3</c:f>
              <c:strCache>
                <c:ptCount val="1"/>
                <c:pt idx="0">
                  <c:v>Total</c:v>
                </c:pt>
              </c:strCache>
            </c:strRef>
          </c:tx>
          <c:spPr>
            <a:ln w="28575" cap="rnd">
              <a:solidFill>
                <a:schemeClr val="accent1"/>
              </a:solidFill>
              <a:round/>
            </a:ln>
            <a:effectLst/>
          </c:spPr>
          <c:marker>
            <c:symbol val="none"/>
          </c:marker>
          <c:cat>
            <c:multiLvlStrRef>
              <c:f>'Pivot-Table'!$K$4:$K$16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'Pivot-Table'!$L$4:$L$16</c:f>
              <c:numCache>
                <c:formatCode>General</c:formatCode>
                <c:ptCount val="11"/>
                <c:pt idx="0">
                  <c:v>5</c:v>
                </c:pt>
                <c:pt idx="1">
                  <c:v>13</c:v>
                </c:pt>
                <c:pt idx="2">
                  <c:v>5</c:v>
                </c:pt>
                <c:pt idx="3">
                  <c:v>2</c:v>
                </c:pt>
                <c:pt idx="4">
                  <c:v>9</c:v>
                </c:pt>
                <c:pt idx="5">
                  <c:v>9</c:v>
                </c:pt>
                <c:pt idx="6">
                  <c:v>13</c:v>
                </c:pt>
                <c:pt idx="7">
                  <c:v>7</c:v>
                </c:pt>
                <c:pt idx="8">
                  <c:v>5</c:v>
                </c:pt>
                <c:pt idx="9">
                  <c:v>11</c:v>
                </c:pt>
                <c:pt idx="10">
                  <c:v>2</c:v>
                </c:pt>
              </c:numCache>
            </c:numRef>
          </c:val>
          <c:smooth val="0"/>
          <c:extLst>
            <c:ext xmlns:c16="http://schemas.microsoft.com/office/drawing/2014/chart" uri="{C3380CC4-5D6E-409C-BE32-E72D297353CC}">
              <c16:uniqueId val="{00000000-56EC-4FE7-A1C8-33D5E3A1E32D}"/>
            </c:ext>
          </c:extLst>
        </c:ser>
        <c:dLbls>
          <c:showLegendKey val="0"/>
          <c:showVal val="0"/>
          <c:showCatName val="0"/>
          <c:showSerName val="0"/>
          <c:showPercent val="0"/>
          <c:showBubbleSize val="0"/>
        </c:dLbls>
        <c:smooth val="0"/>
        <c:axId val="2079910288"/>
        <c:axId val="2079912208"/>
      </c:lineChart>
      <c:catAx>
        <c:axId val="207991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12208"/>
        <c:crosses val="autoZero"/>
        <c:auto val="1"/>
        <c:lblAlgn val="ctr"/>
        <c:lblOffset val="100"/>
        <c:noMultiLvlLbl val="0"/>
      </c:catAx>
      <c:valAx>
        <c:axId val="207991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1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Top 10 Products by Revenue (₹)</a:t>
            </a:r>
          </a:p>
        </c:rich>
      </c:tx>
      <c:layout>
        <c:manualLayout>
          <c:xMode val="edge"/>
          <c:yMode val="edge"/>
          <c:x val="0.2618682979419748"/>
          <c:y val="2.18243267536763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'Pivot-Table'!$P$3</c:f>
              <c:strCache>
                <c:ptCount val="1"/>
                <c:pt idx="0">
                  <c:v>Total</c:v>
                </c:pt>
              </c:strCache>
            </c:strRef>
          </c:tx>
          <c:spPr>
            <a:solidFill>
              <a:schemeClr val="accent1"/>
            </a:solidFill>
            <a:ln>
              <a:noFill/>
            </a:ln>
            <a:effectLst/>
          </c:spPr>
          <c:invertIfNegative val="0"/>
          <c:cat>
            <c:strRef>
              <c:f>'Pivot-Table'!$O$4:$O$14</c:f>
              <c:strCache>
                <c:ptCount val="10"/>
                <c:pt idx="0">
                  <c:v>Basketball</c:v>
                </c:pt>
                <c:pt idx="1">
                  <c:v>Biography</c:v>
                </c:pt>
                <c:pt idx="2">
                  <c:v>Blender</c:v>
                </c:pt>
                <c:pt idx="3">
                  <c:v>Comics</c:v>
                </c:pt>
                <c:pt idx="4">
                  <c:v>Fiction</c:v>
                </c:pt>
                <c:pt idx="5">
                  <c:v>Lamp</c:v>
                </c:pt>
                <c:pt idx="6">
                  <c:v>Science</c:v>
                </c:pt>
                <c:pt idx="7">
                  <c:v>Shoes</c:v>
                </c:pt>
                <c:pt idx="8">
                  <c:v>T-shirt</c:v>
                </c:pt>
                <c:pt idx="9">
                  <c:v>Vacuum</c:v>
                </c:pt>
              </c:strCache>
            </c:strRef>
          </c:cat>
          <c:val>
            <c:numRef>
              <c:f>'Pivot-Table'!$P$4:$P$14</c:f>
              <c:numCache>
                <c:formatCode>"₹"\ #,##0.00</c:formatCode>
                <c:ptCount val="10"/>
                <c:pt idx="0">
                  <c:v>12376.371560673368</c:v>
                </c:pt>
                <c:pt idx="1">
                  <c:v>9577.39</c:v>
                </c:pt>
                <c:pt idx="2">
                  <c:v>31084.146702127659</c:v>
                </c:pt>
                <c:pt idx="3">
                  <c:v>17836.288901098898</c:v>
                </c:pt>
                <c:pt idx="4">
                  <c:v>7761.57</c:v>
                </c:pt>
                <c:pt idx="5">
                  <c:v>14306.440000000002</c:v>
                </c:pt>
                <c:pt idx="6">
                  <c:v>8005.71</c:v>
                </c:pt>
                <c:pt idx="7">
                  <c:v>17836.318901098901</c:v>
                </c:pt>
                <c:pt idx="8">
                  <c:v>8230.26</c:v>
                </c:pt>
                <c:pt idx="9">
                  <c:v>7537.5828138882389</c:v>
                </c:pt>
              </c:numCache>
            </c:numRef>
          </c:val>
          <c:extLst>
            <c:ext xmlns:c16="http://schemas.microsoft.com/office/drawing/2014/chart" uri="{C3380CC4-5D6E-409C-BE32-E72D297353CC}">
              <c16:uniqueId val="{00000000-A575-4EEE-B98F-6C846497D144}"/>
            </c:ext>
          </c:extLst>
        </c:ser>
        <c:dLbls>
          <c:showLegendKey val="0"/>
          <c:showVal val="0"/>
          <c:showCatName val="0"/>
          <c:showSerName val="0"/>
          <c:showPercent val="0"/>
          <c:showBubbleSize val="0"/>
        </c:dLbls>
        <c:gapWidth val="182"/>
        <c:axId val="2070589936"/>
        <c:axId val="2070591376"/>
      </c:barChart>
      <c:catAx>
        <c:axId val="207058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91376"/>
        <c:crosses val="autoZero"/>
        <c:auto val="1"/>
        <c:lblAlgn val="ctr"/>
        <c:lblOffset val="100"/>
        <c:noMultiLvlLbl val="0"/>
      </c:catAx>
      <c:valAx>
        <c:axId val="2070591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8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[Project-Dashboard.xlsx]Pivot-Table!PivotTable3</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t>Monthly  Order Count - 2025</a:t>
            </a:r>
          </a:p>
        </c:rich>
      </c:tx>
      <c:layout>
        <c:manualLayout>
          <c:xMode val="edge"/>
          <c:yMode val="edge"/>
          <c:x val="0.26408053160021666"/>
          <c:y val="6.842373869932924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'Pivot-Table'!$L$3</c:f>
              <c:strCache>
                <c:ptCount val="1"/>
                <c:pt idx="0">
                  <c:v>Total</c:v>
                </c:pt>
              </c:strCache>
            </c:strRef>
          </c:tx>
          <c:spPr>
            <a:solidFill>
              <a:schemeClr val="accent1"/>
            </a:solidFill>
            <a:ln>
              <a:noFill/>
            </a:ln>
            <a:effectLst/>
          </c:spPr>
          <c:invertIfNegative val="0"/>
          <c:cat>
            <c:multiLvlStrRef>
              <c:f>'Pivot-Table'!$K$4:$K$16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'Pivot-Table'!$L$4:$L$16</c:f>
              <c:numCache>
                <c:formatCode>General</c:formatCode>
                <c:ptCount val="11"/>
                <c:pt idx="0">
                  <c:v>5</c:v>
                </c:pt>
                <c:pt idx="1">
                  <c:v>13</c:v>
                </c:pt>
                <c:pt idx="2">
                  <c:v>5</c:v>
                </c:pt>
                <c:pt idx="3">
                  <c:v>2</c:v>
                </c:pt>
                <c:pt idx="4">
                  <c:v>9</c:v>
                </c:pt>
                <c:pt idx="5">
                  <c:v>9</c:v>
                </c:pt>
                <c:pt idx="6">
                  <c:v>13</c:v>
                </c:pt>
                <c:pt idx="7">
                  <c:v>7</c:v>
                </c:pt>
                <c:pt idx="8">
                  <c:v>5</c:v>
                </c:pt>
                <c:pt idx="9">
                  <c:v>11</c:v>
                </c:pt>
                <c:pt idx="10">
                  <c:v>2</c:v>
                </c:pt>
              </c:numCache>
            </c:numRef>
          </c:val>
          <c:extLst>
            <c:ext xmlns:c16="http://schemas.microsoft.com/office/drawing/2014/chart" uri="{C3380CC4-5D6E-409C-BE32-E72D297353CC}">
              <c16:uniqueId val="{00000000-24E9-4F2E-B34F-E7CCD849B01F}"/>
            </c:ext>
          </c:extLst>
        </c:ser>
        <c:dLbls>
          <c:showLegendKey val="0"/>
          <c:showVal val="0"/>
          <c:showCatName val="0"/>
          <c:showSerName val="0"/>
          <c:showPercent val="0"/>
          <c:showBubbleSize val="0"/>
        </c:dLbls>
        <c:gapWidth val="219"/>
        <c:overlap val="-27"/>
        <c:axId val="2077871072"/>
        <c:axId val="2077870592"/>
      </c:barChart>
      <c:catAx>
        <c:axId val="20778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70592"/>
        <c:crosses val="autoZero"/>
        <c:auto val="1"/>
        <c:lblAlgn val="ctr"/>
        <c:lblOffset val="100"/>
        <c:noMultiLvlLbl val="0"/>
      </c:catAx>
      <c:valAx>
        <c:axId val="207787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kern="1200" spc="-1" baseline="0">
                <a:solidFill>
                  <a:srgbClr val="000000"/>
                </a:solidFill>
                <a:latin typeface="Calibri"/>
              </a:rPr>
              <a:t>Revenue by Payment Method</a:t>
            </a:r>
          </a:p>
        </c:rich>
      </c:tx>
      <c:layout>
        <c:manualLayout>
          <c:xMode val="edge"/>
          <c:yMode val="edge"/>
          <c:x val="0.28643382296511183"/>
          <c:y val="5.207571865187939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'Pivot-Table'!$S$3</c:f>
              <c:strCache>
                <c:ptCount val="1"/>
                <c:pt idx="0">
                  <c:v>Revenue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881-40AC-A204-68367D39452F}"/>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881-40AC-A204-68367D39452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881-40AC-A204-68367D39452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881-40AC-A204-68367D3945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'Pivot-Table'!$R$4:$R$8</c:f>
              <c:strCache>
                <c:ptCount val="4"/>
                <c:pt idx="0">
                  <c:v>Bank Transfer</c:v>
                </c:pt>
                <c:pt idx="1">
                  <c:v>Cash on Delivery</c:v>
                </c:pt>
                <c:pt idx="2">
                  <c:v>Credit Card</c:v>
                </c:pt>
                <c:pt idx="3">
                  <c:v>PayPal</c:v>
                </c:pt>
              </c:strCache>
            </c:strRef>
          </c:cat>
          <c:val>
            <c:numRef>
              <c:f>'Pivot-Table'!$S$4:$S$8</c:f>
              <c:numCache>
                <c:formatCode>"₹"\ #,##0.00</c:formatCode>
                <c:ptCount val="4"/>
                <c:pt idx="0">
                  <c:v>47107.71582300678</c:v>
                </c:pt>
                <c:pt idx="1">
                  <c:v>74850.325093523497</c:v>
                </c:pt>
                <c:pt idx="2">
                  <c:v>25672.704361702126</c:v>
                </c:pt>
                <c:pt idx="3">
                  <c:v>35446.935764554604</c:v>
                </c:pt>
              </c:numCache>
            </c:numRef>
          </c:val>
          <c:extLst>
            <c:ext xmlns:c16="http://schemas.microsoft.com/office/drawing/2014/chart" uri="{C3380CC4-5D6E-409C-BE32-E72D297353CC}">
              <c16:uniqueId val="{00000000-9427-4D13-BAFE-E6E5058E8E8F}"/>
            </c:ext>
          </c:extLst>
        </c:ser>
        <c:ser>
          <c:idx val="1"/>
          <c:order val="1"/>
          <c:tx>
            <c:strRef>
              <c:f>'Pivot-Table'!$T$3</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881-40AC-A204-68367D39452F}"/>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881-40AC-A204-68367D39452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881-40AC-A204-68367D39452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881-40AC-A204-68367D3945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'Pivot-Table'!$R$4:$R$8</c:f>
              <c:strCache>
                <c:ptCount val="4"/>
                <c:pt idx="0">
                  <c:v>Bank Transfer</c:v>
                </c:pt>
                <c:pt idx="1">
                  <c:v>Cash on Delivery</c:v>
                </c:pt>
                <c:pt idx="2">
                  <c:v>Credit Card</c:v>
                </c:pt>
                <c:pt idx="3">
                  <c:v>PayPal</c:v>
                </c:pt>
              </c:strCache>
            </c:strRef>
          </c:cat>
          <c:val>
            <c:numRef>
              <c:f>'Pivot-Table'!$T$4:$T$8</c:f>
              <c:numCache>
                <c:formatCode>General</c:formatCode>
                <c:ptCount val="4"/>
                <c:pt idx="0">
                  <c:v>22</c:v>
                </c:pt>
                <c:pt idx="1">
                  <c:v>33</c:v>
                </c:pt>
                <c:pt idx="2">
                  <c:v>21</c:v>
                </c:pt>
                <c:pt idx="3">
                  <c:v>24</c:v>
                </c:pt>
              </c:numCache>
            </c:numRef>
          </c:val>
          <c:extLst>
            <c:ext xmlns:c16="http://schemas.microsoft.com/office/drawing/2014/chart" uri="{C3380CC4-5D6E-409C-BE32-E72D297353CC}">
              <c16:uniqueId val="{00000001-9427-4D13-BAFE-E6E5058E8E8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Revenue by Category &amp; Status (Stacked)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'Pivot-Table'!$C$20:$C$21</c:f>
              <c:strCache>
                <c:ptCount val="1"/>
                <c:pt idx="0">
                  <c:v>Cancelled</c:v>
                </c:pt>
              </c:strCache>
            </c:strRef>
          </c:tx>
          <c:spPr>
            <a:solidFill>
              <a:schemeClr val="accent1"/>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'Pivot-Table'!$C$22:$C$27</c:f>
              <c:numCache>
                <c:formatCode>"₹"\ #,##0.00</c:formatCode>
                <c:ptCount val="5"/>
                <c:pt idx="0">
                  <c:v>7872.5289010989</c:v>
                </c:pt>
                <c:pt idx="1">
                  <c:v>7481.05</c:v>
                </c:pt>
                <c:pt idx="2">
                  <c:v>6761.73</c:v>
                </c:pt>
                <c:pt idx="3">
                  <c:v>4108.3599999999997</c:v>
                </c:pt>
                <c:pt idx="4">
                  <c:v>4935.6689010989003</c:v>
                </c:pt>
              </c:numCache>
            </c:numRef>
          </c:val>
          <c:extLst>
            <c:ext xmlns:c16="http://schemas.microsoft.com/office/drawing/2014/chart" uri="{C3380CC4-5D6E-409C-BE32-E72D297353CC}">
              <c16:uniqueId val="{00000000-1AB7-4349-AD64-2BE42DFC1250}"/>
            </c:ext>
          </c:extLst>
        </c:ser>
        <c:ser>
          <c:idx val="1"/>
          <c:order val="1"/>
          <c:tx>
            <c:strRef>
              <c:f>'Pivot-Table'!$D$20:$D$21</c:f>
              <c:strCache>
                <c:ptCount val="1"/>
                <c:pt idx="0">
                  <c:v>Delivered</c:v>
                </c:pt>
              </c:strCache>
            </c:strRef>
          </c:tx>
          <c:spPr>
            <a:solidFill>
              <a:schemeClr val="accent2"/>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'Pivot-Table'!$D$22:$D$27</c:f>
              <c:numCache>
                <c:formatCode>"₹"\ #,##0.00</c:formatCode>
                <c:ptCount val="5"/>
                <c:pt idx="1">
                  <c:v>3894.7799999999997</c:v>
                </c:pt>
                <c:pt idx="2">
                  <c:v>4024.82</c:v>
                </c:pt>
                <c:pt idx="3">
                  <c:v>3775.462813888239</c:v>
                </c:pt>
                <c:pt idx="4">
                  <c:v>5087.1000000000004</c:v>
                </c:pt>
              </c:numCache>
            </c:numRef>
          </c:val>
          <c:extLst>
            <c:ext xmlns:c16="http://schemas.microsoft.com/office/drawing/2014/chart" uri="{C3380CC4-5D6E-409C-BE32-E72D297353CC}">
              <c16:uniqueId val="{00000004-9497-4A66-AC83-595DCF4A1FA8}"/>
            </c:ext>
          </c:extLst>
        </c:ser>
        <c:ser>
          <c:idx val="2"/>
          <c:order val="2"/>
          <c:tx>
            <c:strRef>
              <c:f>'Pivot-Table'!$E$20:$E$21</c:f>
              <c:strCache>
                <c:ptCount val="1"/>
                <c:pt idx="0">
                  <c:v>Processing</c:v>
                </c:pt>
              </c:strCache>
            </c:strRef>
          </c:tx>
          <c:spPr>
            <a:solidFill>
              <a:schemeClr val="accent3"/>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'Pivot-Table'!$E$22:$E$27</c:f>
              <c:numCache>
                <c:formatCode>"₹"\ #,##0.00</c:formatCode>
                <c:ptCount val="5"/>
                <c:pt idx="0">
                  <c:v>4887.6299999999992</c:v>
                </c:pt>
                <c:pt idx="1">
                  <c:v>9432.75</c:v>
                </c:pt>
                <c:pt idx="2">
                  <c:v>23602.019560439559</c:v>
                </c:pt>
                <c:pt idx="3">
                  <c:v>6946.3158230067793</c:v>
                </c:pt>
                <c:pt idx="4">
                  <c:v>10182.788390226795</c:v>
                </c:pt>
              </c:numCache>
            </c:numRef>
          </c:val>
          <c:extLst>
            <c:ext xmlns:c16="http://schemas.microsoft.com/office/drawing/2014/chart" uri="{C3380CC4-5D6E-409C-BE32-E72D297353CC}">
              <c16:uniqueId val="{00000000-793B-4D9B-BBEF-E4C3F5F8F8C3}"/>
            </c:ext>
          </c:extLst>
        </c:ser>
        <c:ser>
          <c:idx val="3"/>
          <c:order val="3"/>
          <c:tx>
            <c:strRef>
              <c:f>'Pivot-Table'!$F$20:$F$21</c:f>
              <c:strCache>
                <c:ptCount val="1"/>
                <c:pt idx="0">
                  <c:v>Returned</c:v>
                </c:pt>
              </c:strCache>
            </c:strRef>
          </c:tx>
          <c:spPr>
            <a:solidFill>
              <a:schemeClr val="accent4"/>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'Pivot-Table'!$F$22:$F$27</c:f>
              <c:numCache>
                <c:formatCode>"₹"\ #,##0.00</c:formatCode>
                <c:ptCount val="5"/>
                <c:pt idx="0">
                  <c:v>22151.96</c:v>
                </c:pt>
                <c:pt idx="1">
                  <c:v>3774.6528372691132</c:v>
                </c:pt>
                <c:pt idx="2">
                  <c:v>5190.26</c:v>
                </c:pt>
                <c:pt idx="3">
                  <c:v>8228.33</c:v>
                </c:pt>
                <c:pt idx="4">
                  <c:v>4672.4004255319151</c:v>
                </c:pt>
              </c:numCache>
            </c:numRef>
          </c:val>
          <c:extLst>
            <c:ext xmlns:c16="http://schemas.microsoft.com/office/drawing/2014/chart" uri="{C3380CC4-5D6E-409C-BE32-E72D297353CC}">
              <c16:uniqueId val="{00000001-793B-4D9B-BBEF-E4C3F5F8F8C3}"/>
            </c:ext>
          </c:extLst>
        </c:ser>
        <c:ser>
          <c:idx val="4"/>
          <c:order val="4"/>
          <c:tx>
            <c:strRef>
              <c:f>'Pivot-Table'!$G$20:$G$21</c:f>
              <c:strCache>
                <c:ptCount val="1"/>
                <c:pt idx="0">
                  <c:v>Shipped</c:v>
                </c:pt>
              </c:strCache>
            </c:strRef>
          </c:tx>
          <c:spPr>
            <a:solidFill>
              <a:schemeClr val="accent5"/>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'Pivot-Table'!$G$22:$G$27</c:f>
              <c:numCache>
                <c:formatCode>"₹"\ #,##0.00</c:formatCode>
                <c:ptCount val="5"/>
                <c:pt idx="0">
                  <c:v>8268.84</c:v>
                </c:pt>
                <c:pt idx="1">
                  <c:v>9811.6095604395596</c:v>
                </c:pt>
                <c:pt idx="2">
                  <c:v>4598.3999999999996</c:v>
                </c:pt>
                <c:pt idx="3">
                  <c:v>10941.589999999998</c:v>
                </c:pt>
                <c:pt idx="4">
                  <c:v>2446.6338297872339</c:v>
                </c:pt>
              </c:numCache>
            </c:numRef>
          </c:val>
          <c:extLst>
            <c:ext xmlns:c16="http://schemas.microsoft.com/office/drawing/2014/chart" uri="{C3380CC4-5D6E-409C-BE32-E72D297353CC}">
              <c16:uniqueId val="{00000003-793B-4D9B-BBEF-E4C3F5F8F8C3}"/>
            </c:ext>
          </c:extLst>
        </c:ser>
        <c:dLbls>
          <c:showLegendKey val="0"/>
          <c:showVal val="0"/>
          <c:showCatName val="0"/>
          <c:showSerName val="0"/>
          <c:showPercent val="0"/>
          <c:showBubbleSize val="0"/>
        </c:dLbls>
        <c:gapWidth val="150"/>
        <c:overlap val="100"/>
        <c:axId val="1501067808"/>
        <c:axId val="1501073568"/>
      </c:barChart>
      <c:catAx>
        <c:axId val="15010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73568"/>
        <c:crosses val="autoZero"/>
        <c:auto val="1"/>
        <c:lblAlgn val="ctr"/>
        <c:lblOffset val="100"/>
        <c:noMultiLvlLbl val="0"/>
      </c:catAx>
      <c:valAx>
        <c:axId val="1501073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6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Order Count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'Pivot-Table'!$A$4:$A$9</c:f>
              <c:strCache>
                <c:ptCount val="5"/>
                <c:pt idx="0">
                  <c:v>Books</c:v>
                </c:pt>
                <c:pt idx="1">
                  <c:v>Clothing</c:v>
                </c:pt>
                <c:pt idx="2">
                  <c:v>Electronics</c:v>
                </c:pt>
                <c:pt idx="3">
                  <c:v>Home</c:v>
                </c:pt>
                <c:pt idx="4">
                  <c:v>Sports</c:v>
                </c:pt>
              </c:strCache>
            </c:strRef>
          </c:cat>
          <c:val>
            <c:numRef>
              <c:f>'Pivot-Table'!$B$4:$B$9</c:f>
              <c:numCache>
                <c:formatCode>General</c:formatCode>
                <c:ptCount val="5"/>
                <c:pt idx="0">
                  <c:v>23</c:v>
                </c:pt>
                <c:pt idx="1">
                  <c:v>16</c:v>
                </c:pt>
                <c:pt idx="2">
                  <c:v>23</c:v>
                </c:pt>
                <c:pt idx="3">
                  <c:v>20</c:v>
                </c:pt>
                <c:pt idx="4">
                  <c:v>18</c:v>
                </c:pt>
              </c:numCache>
            </c:numRef>
          </c:val>
          <c:extLst>
            <c:ext xmlns:c16="http://schemas.microsoft.com/office/drawing/2014/chart" uri="{C3380CC4-5D6E-409C-BE32-E72D297353CC}">
              <c16:uniqueId val="{00000000-968F-41EF-A4F0-3E04B4664CD9}"/>
            </c:ext>
          </c:extLst>
        </c:ser>
        <c:dLbls>
          <c:showLegendKey val="0"/>
          <c:showVal val="0"/>
          <c:showCatName val="0"/>
          <c:showSerName val="0"/>
          <c:showPercent val="0"/>
          <c:showBubbleSize val="0"/>
        </c:dLbls>
        <c:gapWidth val="219"/>
        <c:overlap val="-27"/>
        <c:axId val="2066569504"/>
        <c:axId val="2066570944"/>
      </c:barChart>
      <c:catAx>
        <c:axId val="20665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70944"/>
        <c:crosses val="autoZero"/>
        <c:auto val="1"/>
        <c:lblAlgn val="ctr"/>
        <c:lblOffset val="100"/>
        <c:noMultiLvlLbl val="0"/>
      </c:catAx>
      <c:valAx>
        <c:axId val="206657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6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none" spc="-1" normalizeH="0" baseline="0">
                <a:solidFill>
                  <a:srgbClr val="000000"/>
                </a:solidFill>
                <a:latin typeface="Calibri"/>
              </a:rPr>
              <a:t>Revenue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Total</c:v>
                </c:pt>
              </c:strCache>
            </c:strRef>
          </c:tx>
          <c:spPr>
            <a:solidFill>
              <a:schemeClr val="accent1"/>
            </a:solidFill>
            <a:ln>
              <a:noFill/>
            </a:ln>
            <a:effectLst/>
          </c:spPr>
          <c:invertIfNegative val="0"/>
          <c:cat>
            <c:strRef>
              <c:f>'Pivot-Table'!$D$4:$D$9</c:f>
              <c:strCache>
                <c:ptCount val="5"/>
                <c:pt idx="0">
                  <c:v>Books</c:v>
                </c:pt>
                <c:pt idx="1">
                  <c:v>Clothing</c:v>
                </c:pt>
                <c:pt idx="2">
                  <c:v>Electronics</c:v>
                </c:pt>
                <c:pt idx="3">
                  <c:v>Home</c:v>
                </c:pt>
                <c:pt idx="4">
                  <c:v>Sports</c:v>
                </c:pt>
              </c:strCache>
            </c:strRef>
          </c:cat>
          <c:val>
            <c:numRef>
              <c:f>'Pivot-Table'!$E$4:$E$9</c:f>
              <c:numCache>
                <c:formatCode>"₹"\ #,##0.00</c:formatCode>
                <c:ptCount val="5"/>
                <c:pt idx="0">
                  <c:v>43180.9589010989</c:v>
                </c:pt>
                <c:pt idx="1">
                  <c:v>34394.842397708671</c:v>
                </c:pt>
                <c:pt idx="2">
                  <c:v>44177.229560439555</c:v>
                </c:pt>
                <c:pt idx="3">
                  <c:v>34000.058636895017</c:v>
                </c:pt>
                <c:pt idx="4">
                  <c:v>27324.591546644846</c:v>
                </c:pt>
              </c:numCache>
            </c:numRef>
          </c:val>
          <c:extLst>
            <c:ext xmlns:c16="http://schemas.microsoft.com/office/drawing/2014/chart" uri="{C3380CC4-5D6E-409C-BE32-E72D297353CC}">
              <c16:uniqueId val="{00000000-6768-4E9F-B96C-B337E39E6E1F}"/>
            </c:ext>
          </c:extLst>
        </c:ser>
        <c:dLbls>
          <c:showLegendKey val="0"/>
          <c:showVal val="0"/>
          <c:showCatName val="0"/>
          <c:showSerName val="0"/>
          <c:showPercent val="0"/>
          <c:showBubbleSize val="0"/>
        </c:dLbls>
        <c:gapWidth val="219"/>
        <c:overlap val="-27"/>
        <c:axId val="2096230224"/>
        <c:axId val="2096222544"/>
      </c:barChart>
      <c:catAx>
        <c:axId val="209623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222544"/>
        <c:crosses val="autoZero"/>
        <c:auto val="1"/>
        <c:lblAlgn val="ctr"/>
        <c:lblOffset val="100"/>
        <c:noMultiLvlLbl val="0"/>
      </c:catAx>
      <c:valAx>
        <c:axId val="2096222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23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kern="1200" cap="none" spc="-1" normalizeH="0" baseline="0">
                <a:solidFill>
                  <a:srgbClr val="000000"/>
                </a:solidFill>
                <a:latin typeface="Calibri"/>
              </a:rPr>
              <a:t>Revenue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3BAC"/>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9143700787404"/>
          <c:y val="0.21366306301744434"/>
          <c:w val="0.80282699037620298"/>
          <c:h val="0.64111156121561974"/>
        </c:manualLayout>
      </c:layout>
      <c:barChart>
        <c:barDir val="col"/>
        <c:grouping val="clustered"/>
        <c:varyColors val="0"/>
        <c:ser>
          <c:idx val="0"/>
          <c:order val="0"/>
          <c:tx>
            <c:strRef>
              <c:f>'Pivot-Table'!$E$3</c:f>
              <c:strCache>
                <c:ptCount val="1"/>
                <c:pt idx="0">
                  <c:v>Total</c:v>
                </c:pt>
              </c:strCache>
            </c:strRef>
          </c:tx>
          <c:spPr>
            <a:solidFill>
              <a:srgbClr val="D93BAC"/>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'Pivot-Table'!$D$4:$D$9</c:f>
              <c:strCache>
                <c:ptCount val="5"/>
                <c:pt idx="0">
                  <c:v>Books</c:v>
                </c:pt>
                <c:pt idx="1">
                  <c:v>Clothing</c:v>
                </c:pt>
                <c:pt idx="2">
                  <c:v>Electronics</c:v>
                </c:pt>
                <c:pt idx="3">
                  <c:v>Home</c:v>
                </c:pt>
                <c:pt idx="4">
                  <c:v>Sports</c:v>
                </c:pt>
              </c:strCache>
            </c:strRef>
          </c:cat>
          <c:val>
            <c:numRef>
              <c:f>'Pivot-Table'!$E$4:$E$9</c:f>
              <c:numCache>
                <c:formatCode>"₹"\ #,##0.00</c:formatCode>
                <c:ptCount val="5"/>
                <c:pt idx="0">
                  <c:v>43180.9589010989</c:v>
                </c:pt>
                <c:pt idx="1">
                  <c:v>34394.842397708671</c:v>
                </c:pt>
                <c:pt idx="2">
                  <c:v>44177.229560439555</c:v>
                </c:pt>
                <c:pt idx="3">
                  <c:v>34000.058636895017</c:v>
                </c:pt>
                <c:pt idx="4">
                  <c:v>27324.591546644846</c:v>
                </c:pt>
              </c:numCache>
            </c:numRef>
          </c:val>
          <c:extLst>
            <c:ext xmlns:c16="http://schemas.microsoft.com/office/drawing/2014/chart" uri="{C3380CC4-5D6E-409C-BE32-E72D297353CC}">
              <c16:uniqueId val="{00000000-FB5F-4907-A8A5-C9DA5234EEF5}"/>
            </c:ext>
          </c:extLst>
        </c:ser>
        <c:dLbls>
          <c:dLblPos val="outEnd"/>
          <c:showLegendKey val="0"/>
          <c:showVal val="1"/>
          <c:showCatName val="0"/>
          <c:showSerName val="0"/>
          <c:showPercent val="0"/>
          <c:showBubbleSize val="0"/>
        </c:dLbls>
        <c:gapWidth val="219"/>
        <c:overlap val="-27"/>
        <c:axId val="2096230224"/>
        <c:axId val="2096222544"/>
      </c:barChart>
      <c:catAx>
        <c:axId val="2096230224"/>
        <c:scaling>
          <c:orientation val="minMax"/>
        </c:scaling>
        <c:delete val="0"/>
        <c:axPos val="b"/>
        <c:numFmt formatCode="[$$-C09]#,##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222544"/>
        <c:crosses val="autoZero"/>
        <c:auto val="1"/>
        <c:lblAlgn val="ctr"/>
        <c:lblOffset val="100"/>
        <c:noMultiLvlLbl val="0"/>
      </c:catAx>
      <c:valAx>
        <c:axId val="209622254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23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[Project-Dashboard.xlsx]Pivot-Table!PivotTable2</c:name>
    <c:fmtId val="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b="1">
                <a:solidFill>
                  <a:schemeClr val="tx1"/>
                </a:solidFill>
                <a:latin typeface="+mn-lt"/>
              </a:rPr>
              <a:t>Order Status Distribution</a:t>
            </a:r>
          </a:p>
        </c:rich>
      </c:tx>
      <c:layout>
        <c:manualLayout>
          <c:xMode val="edge"/>
          <c:yMode val="edge"/>
          <c:x val="0.17546479833872275"/>
          <c:y val="3.03980893063608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F66FF"/>
          </a:solidFill>
          <a:ln>
            <a:noFill/>
          </a:ln>
          <a:effectLst>
            <a:outerShdw blurRad="317500" algn="ctr" rotWithShape="0">
              <a:prstClr val="black">
                <a:alpha val="25000"/>
              </a:prstClr>
            </a:outerShdw>
          </a:effectLst>
        </c:spPr>
        <c:dLbl>
          <c:idx val="0"/>
          <c:layout>
            <c:manualLayout>
              <c:x val="0.12374323279195669"/>
              <c:y val="-0.10182207931404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7B3E7"/>
          </a:solidFill>
          <a:ln>
            <a:noFill/>
          </a:ln>
          <a:effectLst>
            <a:outerShdw blurRad="317500" algn="ctr" rotWithShape="0">
              <a:prstClr val="black">
                <a:alpha val="25000"/>
              </a:prstClr>
            </a:outerShdw>
          </a:effectLst>
        </c:spPr>
        <c:dLbl>
          <c:idx val="0"/>
          <c:layout>
            <c:manualLayout>
              <c:x val="0.15081206496519708"/>
              <c:y val="-1.607717041800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9532C2"/>
          </a:solidFill>
          <a:ln>
            <a:noFill/>
          </a:ln>
          <a:effectLst>
            <a:outerShdw blurRad="317500" algn="ctr" rotWithShape="0">
              <a:prstClr val="black">
                <a:alpha val="25000"/>
              </a:prstClr>
            </a:outerShdw>
          </a:effectLst>
        </c:spPr>
        <c:dLbl>
          <c:idx val="0"/>
          <c:layout>
            <c:manualLayout>
              <c:x val="0.18174787316318639"/>
              <c:y val="4.82315112540192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494DD"/>
          </a:solidFill>
          <a:ln>
            <a:noFill/>
          </a:ln>
          <a:effectLst>
            <a:outerShdw blurRad="317500" algn="ctr" rotWithShape="0">
              <a:prstClr val="black">
                <a:alpha val="25000"/>
              </a:prstClr>
            </a:outerShdw>
          </a:effectLst>
        </c:spPr>
        <c:dLbl>
          <c:idx val="0"/>
          <c:layout>
            <c:manualLayout>
              <c:x val="-0.1430781129156999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93F9C"/>
          </a:solidFill>
          <a:ln>
            <a:noFill/>
          </a:ln>
          <a:effectLst>
            <a:outerShdw blurRad="317500" algn="ctr" rotWithShape="0">
              <a:prstClr val="black">
                <a:alpha val="25000"/>
              </a:prstClr>
            </a:outerShdw>
          </a:effectLst>
        </c:spPr>
        <c:dLbl>
          <c:idx val="0"/>
          <c:layout>
            <c:manualLayout>
              <c:x val="-0.13147718484145399"/>
              <c:y val="-8.03858520900321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455791633934393"/>
          <c:y val="0.21063962663831007"/>
          <c:w val="0.51629275748884051"/>
          <c:h val="0.71550539703437377"/>
        </c:manualLayout>
      </c:layout>
      <c:doughnutChart>
        <c:varyColors val="1"/>
        <c:ser>
          <c:idx val="0"/>
          <c:order val="0"/>
          <c:tx>
            <c:strRef>
              <c:f>'Pivot-Table'!$H$2</c:f>
              <c:strCache>
                <c:ptCount val="1"/>
                <c:pt idx="0">
                  <c:v>Total</c:v>
                </c:pt>
              </c:strCache>
            </c:strRef>
          </c:tx>
          <c:dPt>
            <c:idx val="0"/>
            <c:bubble3D val="0"/>
            <c:spPr>
              <a:solidFill>
                <a:srgbClr val="FF66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86D-446B-87B1-D51FB616004E}"/>
              </c:ext>
            </c:extLst>
          </c:dPt>
          <c:dPt>
            <c:idx val="1"/>
            <c:bubble3D val="0"/>
            <c:spPr>
              <a:solidFill>
                <a:srgbClr val="F7B3E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86D-446B-87B1-D51FB616004E}"/>
              </c:ext>
            </c:extLst>
          </c:dPt>
          <c:dPt>
            <c:idx val="2"/>
            <c:bubble3D val="0"/>
            <c:spPr>
              <a:solidFill>
                <a:srgbClr val="9532C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86D-446B-87B1-D51FB616004E}"/>
              </c:ext>
            </c:extLst>
          </c:dPt>
          <c:dPt>
            <c:idx val="3"/>
            <c:bubble3D val="0"/>
            <c:spPr>
              <a:solidFill>
                <a:srgbClr val="F494D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86D-446B-87B1-D51FB616004E}"/>
              </c:ext>
            </c:extLst>
          </c:dPt>
          <c:dPt>
            <c:idx val="4"/>
            <c:bubble3D val="0"/>
            <c:spPr>
              <a:solidFill>
                <a:srgbClr val="E93F9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86D-446B-87B1-D51FB616004E}"/>
              </c:ext>
            </c:extLst>
          </c:dPt>
          <c:dLbls>
            <c:dLbl>
              <c:idx val="0"/>
              <c:layout>
                <c:manualLayout>
                  <c:x val="0.12374323279195669"/>
                  <c:y val="-0.101822079314040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6D-446B-87B1-D51FB616004E}"/>
                </c:ext>
              </c:extLst>
            </c:dLbl>
            <c:dLbl>
              <c:idx val="1"/>
              <c:layout>
                <c:manualLayout>
                  <c:x val="0.15081206496519708"/>
                  <c:y val="-1.6077170418006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6D-446B-87B1-D51FB616004E}"/>
                </c:ext>
              </c:extLst>
            </c:dLbl>
            <c:dLbl>
              <c:idx val="2"/>
              <c:layout>
                <c:manualLayout>
                  <c:x val="0.18174787316318639"/>
                  <c:y val="4.82315112540192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6D-446B-87B1-D51FB616004E}"/>
                </c:ext>
              </c:extLst>
            </c:dLbl>
            <c:dLbl>
              <c:idx val="3"/>
              <c:layout>
                <c:manualLayout>
                  <c:x val="-0.1430781129156999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86D-446B-87B1-D51FB616004E}"/>
                </c:ext>
              </c:extLst>
            </c:dLbl>
            <c:dLbl>
              <c:idx val="4"/>
              <c:layout>
                <c:manualLayout>
                  <c:x val="-0.13147718484145399"/>
                  <c:y val="-8.03858520900321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86D-446B-87B1-D51FB61600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'Pivot-Table'!$G$3:$G$8</c:f>
              <c:strCache>
                <c:ptCount val="5"/>
                <c:pt idx="0">
                  <c:v>Cancelled</c:v>
                </c:pt>
                <c:pt idx="1">
                  <c:v>Delivered</c:v>
                </c:pt>
                <c:pt idx="2">
                  <c:v>Processing</c:v>
                </c:pt>
                <c:pt idx="3">
                  <c:v>Returned</c:v>
                </c:pt>
                <c:pt idx="4">
                  <c:v>Shipped</c:v>
                </c:pt>
              </c:strCache>
            </c:strRef>
          </c:cat>
          <c:val>
            <c:numRef>
              <c:f>'Pivot-Table'!$H$3:$H$8</c:f>
              <c:numCache>
                <c:formatCode>"₹"\ #,##0.00</c:formatCode>
                <c:ptCount val="5"/>
                <c:pt idx="0">
                  <c:v>31159.337802197802</c:v>
                </c:pt>
                <c:pt idx="1">
                  <c:v>16782.162813888241</c:v>
                </c:pt>
                <c:pt idx="2">
                  <c:v>55051.503773673132</c:v>
                </c:pt>
                <c:pt idx="3">
                  <c:v>44017.603262801022</c:v>
                </c:pt>
                <c:pt idx="4">
                  <c:v>36067.073390226789</c:v>
                </c:pt>
              </c:numCache>
            </c:numRef>
          </c:val>
          <c:extLst>
            <c:ext xmlns:c16="http://schemas.microsoft.com/office/drawing/2014/chart" uri="{C3380CC4-5D6E-409C-BE32-E72D297353CC}">
              <c16:uniqueId val="{0000000A-F86D-446B-87B1-D51FB616004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[Project-Dashboard.xlsx]Pivot-Table!PivotTable4</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kern="1200" spc="-1" baseline="0">
                <a:solidFill>
                  <a:srgbClr val="000000"/>
                </a:solidFill>
                <a:latin typeface="Calibri"/>
              </a:rPr>
              <a:t>Top 10 Products by Revenue (₹)</a:t>
            </a:r>
          </a:p>
        </c:rich>
      </c:tx>
      <c:layout>
        <c:manualLayout>
          <c:xMode val="edge"/>
          <c:yMode val="edge"/>
          <c:x val="0.16027861486449996"/>
          <c:y val="2.720030531897798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3BAC"/>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6457228560716"/>
          <c:y val="0.19624338624338625"/>
          <c:w val="0.76556644705126142"/>
          <c:h val="0.68101445652626758"/>
        </c:manualLayout>
      </c:layout>
      <c:barChart>
        <c:barDir val="bar"/>
        <c:grouping val="clustered"/>
        <c:varyColors val="0"/>
        <c:ser>
          <c:idx val="0"/>
          <c:order val="0"/>
          <c:tx>
            <c:strRef>
              <c:f>'Pivot-Table'!$P$3</c:f>
              <c:strCache>
                <c:ptCount val="1"/>
                <c:pt idx="0">
                  <c:v>Total</c:v>
                </c:pt>
              </c:strCache>
            </c:strRef>
          </c:tx>
          <c:spPr>
            <a:solidFill>
              <a:srgbClr val="D93BAC"/>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'Pivot-Table'!$O$4:$O$14</c:f>
              <c:strCache>
                <c:ptCount val="10"/>
                <c:pt idx="0">
                  <c:v>Basketball</c:v>
                </c:pt>
                <c:pt idx="1">
                  <c:v>Biography</c:v>
                </c:pt>
                <c:pt idx="2">
                  <c:v>Blender</c:v>
                </c:pt>
                <c:pt idx="3">
                  <c:v>Comics</c:v>
                </c:pt>
                <c:pt idx="4">
                  <c:v>Fiction</c:v>
                </c:pt>
                <c:pt idx="5">
                  <c:v>Lamp</c:v>
                </c:pt>
                <c:pt idx="6">
                  <c:v>Science</c:v>
                </c:pt>
                <c:pt idx="7">
                  <c:v>Shoes</c:v>
                </c:pt>
                <c:pt idx="8">
                  <c:v>T-shirt</c:v>
                </c:pt>
                <c:pt idx="9">
                  <c:v>Vacuum</c:v>
                </c:pt>
              </c:strCache>
            </c:strRef>
          </c:cat>
          <c:val>
            <c:numRef>
              <c:f>'Pivot-Table'!$P$4:$P$14</c:f>
              <c:numCache>
                <c:formatCode>"₹"\ #,##0.00</c:formatCode>
                <c:ptCount val="10"/>
                <c:pt idx="0">
                  <c:v>12376.371560673368</c:v>
                </c:pt>
                <c:pt idx="1">
                  <c:v>9577.39</c:v>
                </c:pt>
                <c:pt idx="2">
                  <c:v>31084.146702127659</c:v>
                </c:pt>
                <c:pt idx="3">
                  <c:v>17836.288901098898</c:v>
                </c:pt>
                <c:pt idx="4">
                  <c:v>7761.57</c:v>
                </c:pt>
                <c:pt idx="5">
                  <c:v>14306.440000000002</c:v>
                </c:pt>
                <c:pt idx="6">
                  <c:v>8005.71</c:v>
                </c:pt>
                <c:pt idx="7">
                  <c:v>17836.318901098901</c:v>
                </c:pt>
                <c:pt idx="8">
                  <c:v>8230.26</c:v>
                </c:pt>
                <c:pt idx="9">
                  <c:v>7537.5828138882389</c:v>
                </c:pt>
              </c:numCache>
            </c:numRef>
          </c:val>
          <c:extLst>
            <c:ext xmlns:c16="http://schemas.microsoft.com/office/drawing/2014/chart" uri="{C3380CC4-5D6E-409C-BE32-E72D297353CC}">
              <c16:uniqueId val="{00000000-0DFA-44B6-914F-B3E9309D512F}"/>
            </c:ext>
          </c:extLst>
        </c:ser>
        <c:dLbls>
          <c:dLblPos val="outEnd"/>
          <c:showLegendKey val="0"/>
          <c:showVal val="1"/>
          <c:showCatName val="0"/>
          <c:showSerName val="0"/>
          <c:showPercent val="0"/>
          <c:showBubbleSize val="0"/>
        </c:dLbls>
        <c:gapWidth val="182"/>
        <c:axId val="2070589936"/>
        <c:axId val="2070591376"/>
      </c:barChart>
      <c:catAx>
        <c:axId val="207058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91376"/>
        <c:crosses val="autoZero"/>
        <c:auto val="1"/>
        <c:lblAlgn val="ctr"/>
        <c:lblOffset val="100"/>
        <c:noMultiLvlLbl val="0"/>
      </c:catAx>
      <c:valAx>
        <c:axId val="207059137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8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r>
              <a:rPr lang="en-US" sz="1400" b="1">
                <a:solidFill>
                  <a:schemeClr val="tx1"/>
                </a:solidFill>
              </a:rPr>
              <a:t>Monthly Revenue Trend - 2025</a:t>
            </a:r>
          </a:p>
        </c:rich>
      </c:tx>
      <c:layout>
        <c:manualLayout>
          <c:xMode val="edge"/>
          <c:yMode val="edge"/>
          <c:x val="0.14583697871099446"/>
          <c:y val="2.21204749021977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9532C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73510255662486E-2"/>
          <c:y val="0.22340764331210192"/>
          <c:w val="0.86508821813939929"/>
          <c:h val="0.56482730661851976"/>
        </c:manualLayout>
      </c:layout>
      <c:lineChart>
        <c:grouping val="standard"/>
        <c:varyColors val="0"/>
        <c:ser>
          <c:idx val="0"/>
          <c:order val="0"/>
          <c:tx>
            <c:strRef>
              <c:f>'Pivot-Table'!$L$3</c:f>
              <c:strCache>
                <c:ptCount val="1"/>
                <c:pt idx="0">
                  <c:v>Total</c:v>
                </c:pt>
              </c:strCache>
            </c:strRef>
          </c:tx>
          <c:spPr>
            <a:ln w="28575" cap="rnd">
              <a:solidFill>
                <a:srgbClr val="9532C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'Pivot-Table'!$K$4:$K$16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'Pivot-Table'!$L$4:$L$16</c:f>
              <c:numCache>
                <c:formatCode>General</c:formatCode>
                <c:ptCount val="11"/>
                <c:pt idx="0">
                  <c:v>5</c:v>
                </c:pt>
                <c:pt idx="1">
                  <c:v>13</c:v>
                </c:pt>
                <c:pt idx="2">
                  <c:v>5</c:v>
                </c:pt>
                <c:pt idx="3">
                  <c:v>2</c:v>
                </c:pt>
                <c:pt idx="4">
                  <c:v>9</c:v>
                </c:pt>
                <c:pt idx="5">
                  <c:v>9</c:v>
                </c:pt>
                <c:pt idx="6">
                  <c:v>13</c:v>
                </c:pt>
                <c:pt idx="7">
                  <c:v>7</c:v>
                </c:pt>
                <c:pt idx="8">
                  <c:v>5</c:v>
                </c:pt>
                <c:pt idx="9">
                  <c:v>11</c:v>
                </c:pt>
                <c:pt idx="10">
                  <c:v>2</c:v>
                </c:pt>
              </c:numCache>
            </c:numRef>
          </c:val>
          <c:smooth val="0"/>
          <c:extLst>
            <c:ext xmlns:c16="http://schemas.microsoft.com/office/drawing/2014/chart" uri="{C3380CC4-5D6E-409C-BE32-E72D297353CC}">
              <c16:uniqueId val="{00000000-4310-41A8-B170-F9EE3C450FB6}"/>
            </c:ext>
          </c:extLst>
        </c:ser>
        <c:dLbls>
          <c:dLblPos val="t"/>
          <c:showLegendKey val="0"/>
          <c:showVal val="1"/>
          <c:showCatName val="0"/>
          <c:showSerName val="0"/>
          <c:showPercent val="0"/>
          <c:showBubbleSize val="0"/>
        </c:dLbls>
        <c:smooth val="0"/>
        <c:axId val="2079910288"/>
        <c:axId val="2079912208"/>
      </c:lineChart>
      <c:catAx>
        <c:axId val="207991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12208"/>
        <c:crosses val="autoZero"/>
        <c:auto val="1"/>
        <c:lblAlgn val="ctr"/>
        <c:lblOffset val="100"/>
        <c:noMultiLvlLbl val="0"/>
      </c:catAx>
      <c:valAx>
        <c:axId val="207991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10288"/>
        <c:crosses val="autoZero"/>
        <c:crossBetween val="between"/>
      </c:valAx>
      <c:spPr>
        <a:solidFill>
          <a:srgbClr val="F7B3E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[Project-Dashboard.xlsx]Pivot-Table!PivotTable3</c:name>
    <c:fmtId val="5"/>
  </c:pivotSource>
  <c:chart>
    <c:title>
      <c:tx>
        <c:rich>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r>
              <a:rPr lang="en-US" sz="1600" b="1">
                <a:solidFill>
                  <a:schemeClr val="tx1"/>
                </a:solidFill>
              </a:rPr>
              <a:t>Monthly  Order Count - 2025</a:t>
            </a:r>
          </a:p>
        </c:rich>
      </c:tx>
      <c:layout>
        <c:manualLayout>
          <c:xMode val="edge"/>
          <c:yMode val="edge"/>
          <c:x val="0.13023738563053452"/>
          <c:y val="2.819395420400035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3B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'Pivot-Table'!$L$3</c:f>
              <c:strCache>
                <c:ptCount val="1"/>
                <c:pt idx="0">
                  <c:v>Total</c:v>
                </c:pt>
              </c:strCache>
            </c:strRef>
          </c:tx>
          <c:spPr>
            <a:solidFill>
              <a:srgbClr val="D93BA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'Pivot-Table'!$K$4:$K$16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'Pivot-Table'!$L$4:$L$16</c:f>
              <c:numCache>
                <c:formatCode>General</c:formatCode>
                <c:ptCount val="11"/>
                <c:pt idx="0">
                  <c:v>5</c:v>
                </c:pt>
                <c:pt idx="1">
                  <c:v>13</c:v>
                </c:pt>
                <c:pt idx="2">
                  <c:v>5</c:v>
                </c:pt>
                <c:pt idx="3">
                  <c:v>2</c:v>
                </c:pt>
                <c:pt idx="4">
                  <c:v>9</c:v>
                </c:pt>
                <c:pt idx="5">
                  <c:v>9</c:v>
                </c:pt>
                <c:pt idx="6">
                  <c:v>13</c:v>
                </c:pt>
                <c:pt idx="7">
                  <c:v>7</c:v>
                </c:pt>
                <c:pt idx="8">
                  <c:v>5</c:v>
                </c:pt>
                <c:pt idx="9">
                  <c:v>11</c:v>
                </c:pt>
                <c:pt idx="10">
                  <c:v>2</c:v>
                </c:pt>
              </c:numCache>
            </c:numRef>
          </c:val>
          <c:extLst>
            <c:ext xmlns:c16="http://schemas.microsoft.com/office/drawing/2014/chart" uri="{C3380CC4-5D6E-409C-BE32-E72D297353CC}">
              <c16:uniqueId val="{00000000-F596-4CC5-946A-142F7B439FA3}"/>
            </c:ext>
          </c:extLst>
        </c:ser>
        <c:dLbls>
          <c:dLblPos val="outEnd"/>
          <c:showLegendKey val="0"/>
          <c:showVal val="1"/>
          <c:showCatName val="0"/>
          <c:showSerName val="0"/>
          <c:showPercent val="0"/>
          <c:showBubbleSize val="0"/>
        </c:dLbls>
        <c:gapWidth val="219"/>
        <c:overlap val="-27"/>
        <c:axId val="2077871072"/>
        <c:axId val="2077870592"/>
      </c:barChart>
      <c:catAx>
        <c:axId val="20778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70592"/>
        <c:crosses val="autoZero"/>
        <c:auto val="1"/>
        <c:lblAlgn val="ctr"/>
        <c:lblOffset val="100"/>
        <c:noMultiLvlLbl val="0"/>
      </c:catAx>
      <c:valAx>
        <c:axId val="207787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7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[Project-Dashboard.xlsx]Pivot-Table!PivotTable5</c:name>
    <c:fmtId val="4"/>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IN" sz="1600" b="1" i="0" u="none" strike="noStrike" kern="1200" spc="-1" baseline="0">
                <a:solidFill>
                  <a:srgbClr val="000000"/>
                </a:solidFill>
                <a:latin typeface="Calibri"/>
              </a:rPr>
              <a:t>Revenue by Payment Method</a:t>
            </a:r>
          </a:p>
        </c:rich>
      </c:tx>
      <c:layout>
        <c:manualLayout>
          <c:xMode val="edge"/>
          <c:yMode val="edge"/>
          <c:x val="0.163432557553922"/>
          <c:y val="6.569294025960066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rgbClr val="F7B3E7"/>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F494DD"/>
          </a:solidFill>
          <a:ln>
            <a:noFill/>
          </a:ln>
          <a:effectLst>
            <a:outerShdw blurRad="317500" algn="ctr" rotWithShape="0">
              <a:prstClr val="black">
                <a:alpha val="25000"/>
              </a:prstClr>
            </a:outerShdw>
          </a:effectLst>
        </c:spPr>
        <c:dLbl>
          <c:idx val="0"/>
          <c:layout>
            <c:manualLayout>
              <c:x val="1.4027709174729543E-2"/>
              <c:y val="0.100551360260854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9532C2"/>
          </a:solidFill>
          <a:ln>
            <a:noFill/>
          </a:ln>
          <a:effectLst>
            <a:outerShdw blurRad="317500" algn="ctr" rotWithShape="0">
              <a:prstClr val="black">
                <a:alpha val="25000"/>
              </a:prstClr>
            </a:outerShdw>
          </a:effectLst>
        </c:spPr>
        <c:dLbl>
          <c:idx val="0"/>
          <c:layout>
            <c:manualLayout>
              <c:x val="0.1298630232570622"/>
              <c:y val="-1.69277620785207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F7B3E7"/>
          </a:solidFill>
          <a:ln>
            <a:noFill/>
          </a:ln>
          <a:effectLst>
            <a:outerShdw blurRad="317500" algn="ctr" rotWithShape="0">
              <a:prstClr val="black">
                <a:alpha val="25000"/>
              </a:prstClr>
            </a:outerShdw>
          </a:effectLst>
        </c:spPr>
        <c:dLbl>
          <c:idx val="0"/>
          <c:layout>
            <c:manualLayout>
              <c:x val="1.1634512014411482E-2"/>
              <c:y val="-3.7316474519183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E93F9C"/>
          </a:solidFill>
          <a:ln>
            <a:noFill/>
          </a:ln>
          <a:effectLst>
            <a:outerShdw blurRad="317500" algn="ctr" rotWithShape="0">
              <a:prstClr val="black">
                <a:alpha val="25000"/>
              </a:prstClr>
            </a:outerShdw>
          </a:effectLst>
        </c:spPr>
        <c:dLbl>
          <c:idx val="0"/>
          <c:layout>
            <c:manualLayout>
              <c:x val="7.8667518958653593E-3"/>
              <c:y val="5.0355181711501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'Pivot-Table'!$S$3</c:f>
              <c:strCache>
                <c:ptCount val="1"/>
                <c:pt idx="0">
                  <c:v>Revenue</c:v>
                </c:pt>
              </c:strCache>
            </c:strRef>
          </c:tx>
          <c:spPr>
            <a:solidFill>
              <a:srgbClr val="F7B3E7"/>
            </a:solidFill>
          </c:spPr>
          <c:dPt>
            <c:idx val="0"/>
            <c:bubble3D val="0"/>
            <c:spPr>
              <a:solidFill>
                <a:srgbClr val="F494D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CE8-4CCF-86D8-56D33063C20C}"/>
              </c:ext>
            </c:extLst>
          </c:dPt>
          <c:dPt>
            <c:idx val="1"/>
            <c:bubble3D val="0"/>
            <c:spPr>
              <a:solidFill>
                <a:srgbClr val="9532C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CE8-4CCF-86D8-56D33063C20C}"/>
              </c:ext>
            </c:extLst>
          </c:dPt>
          <c:dPt>
            <c:idx val="2"/>
            <c:bubble3D val="0"/>
            <c:spPr>
              <a:solidFill>
                <a:srgbClr val="F7B3E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CE8-4CCF-86D8-56D33063C20C}"/>
              </c:ext>
            </c:extLst>
          </c:dPt>
          <c:dPt>
            <c:idx val="3"/>
            <c:bubble3D val="0"/>
            <c:spPr>
              <a:solidFill>
                <a:srgbClr val="E93F9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CE8-4CCF-86D8-56D33063C20C}"/>
              </c:ext>
            </c:extLst>
          </c:dPt>
          <c:dLbls>
            <c:dLbl>
              <c:idx val="0"/>
              <c:layout>
                <c:manualLayout>
                  <c:x val="1.4027709174729543E-2"/>
                  <c:y val="0.100551360260854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E8-4CCF-86D8-56D33063C20C}"/>
                </c:ext>
              </c:extLst>
            </c:dLbl>
            <c:dLbl>
              <c:idx val="1"/>
              <c:layout>
                <c:manualLayout>
                  <c:x val="0.1298630232570622"/>
                  <c:y val="-1.69277620785207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E8-4CCF-86D8-56D33063C20C}"/>
                </c:ext>
              </c:extLst>
            </c:dLbl>
            <c:dLbl>
              <c:idx val="2"/>
              <c:layout>
                <c:manualLayout>
                  <c:x val="1.1634512014411482E-2"/>
                  <c:y val="-3.73164745191834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CE8-4CCF-86D8-56D33063C20C}"/>
                </c:ext>
              </c:extLst>
            </c:dLbl>
            <c:dLbl>
              <c:idx val="3"/>
              <c:layout>
                <c:manualLayout>
                  <c:x val="7.8667518958653593E-3"/>
                  <c:y val="5.03551817115010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CE8-4CCF-86D8-56D33063C2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'Pivot-Table'!$R$4:$R$8</c:f>
              <c:strCache>
                <c:ptCount val="4"/>
                <c:pt idx="0">
                  <c:v>Bank Transfer</c:v>
                </c:pt>
                <c:pt idx="1">
                  <c:v>Cash on Delivery</c:v>
                </c:pt>
                <c:pt idx="2">
                  <c:v>Credit Card</c:v>
                </c:pt>
                <c:pt idx="3">
                  <c:v>PayPal</c:v>
                </c:pt>
              </c:strCache>
            </c:strRef>
          </c:cat>
          <c:val>
            <c:numRef>
              <c:f>'Pivot-Table'!$S$4:$S$8</c:f>
              <c:numCache>
                <c:formatCode>"₹"\ #,##0.00</c:formatCode>
                <c:ptCount val="4"/>
                <c:pt idx="0">
                  <c:v>47107.71582300678</c:v>
                </c:pt>
                <c:pt idx="1">
                  <c:v>74850.325093523497</c:v>
                </c:pt>
                <c:pt idx="2">
                  <c:v>25672.704361702126</c:v>
                </c:pt>
                <c:pt idx="3">
                  <c:v>35446.935764554604</c:v>
                </c:pt>
              </c:numCache>
            </c:numRef>
          </c:val>
          <c:extLst>
            <c:ext xmlns:c16="http://schemas.microsoft.com/office/drawing/2014/chart" uri="{C3380CC4-5D6E-409C-BE32-E72D297353CC}">
              <c16:uniqueId val="{00000008-6CE8-4CCF-86D8-56D33063C20C}"/>
            </c:ext>
          </c:extLst>
        </c:ser>
        <c:ser>
          <c:idx val="1"/>
          <c:order val="1"/>
          <c:tx>
            <c:strRef>
              <c:f>'Pivot-Table'!$T$3</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6CE8-4CCF-86D8-56D33063C20C}"/>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6CE8-4CCF-86D8-56D33063C20C}"/>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6CE8-4CCF-86D8-56D33063C20C}"/>
              </c:ext>
            </c:extLst>
          </c:dPt>
          <c:dPt>
            <c:idx val="3"/>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6CE8-4CCF-86D8-56D33063C2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'Pivot-Table'!$R$4:$R$8</c:f>
              <c:strCache>
                <c:ptCount val="4"/>
                <c:pt idx="0">
                  <c:v>Bank Transfer</c:v>
                </c:pt>
                <c:pt idx="1">
                  <c:v>Cash on Delivery</c:v>
                </c:pt>
                <c:pt idx="2">
                  <c:v>Credit Card</c:v>
                </c:pt>
                <c:pt idx="3">
                  <c:v>PayPal</c:v>
                </c:pt>
              </c:strCache>
            </c:strRef>
          </c:cat>
          <c:val>
            <c:numRef>
              <c:f>'Pivot-Table'!$T$4:$T$8</c:f>
              <c:numCache>
                <c:formatCode>General</c:formatCode>
                <c:ptCount val="4"/>
                <c:pt idx="0">
                  <c:v>22</c:v>
                </c:pt>
                <c:pt idx="1">
                  <c:v>33</c:v>
                </c:pt>
                <c:pt idx="2">
                  <c:v>21</c:v>
                </c:pt>
                <c:pt idx="3">
                  <c:v>24</c:v>
                </c:pt>
              </c:numCache>
            </c:numRef>
          </c:val>
          <c:extLst>
            <c:ext xmlns:c16="http://schemas.microsoft.com/office/drawing/2014/chart" uri="{C3380CC4-5D6E-409C-BE32-E72D297353CC}">
              <c16:uniqueId val="{00000011-6CE8-4CCF-86D8-56D33063C20C}"/>
            </c:ext>
          </c:extLst>
        </c:ser>
        <c:dLbls>
          <c:dLblPos val="inEnd"/>
          <c:showLegendKey val="0"/>
          <c:showVal val="0"/>
          <c:showCatName val="0"/>
          <c:showSerName val="0"/>
          <c:showPercent val="1"/>
          <c:showBubbleSize val="0"/>
          <c:showLeaderLines val="1"/>
        </c:dLbls>
        <c:firstSliceAng val="3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Revenue by Category &amp; Status (Stacked)</a:t>
            </a:r>
          </a:p>
        </c:rich>
      </c:tx>
      <c:layout>
        <c:manualLayout>
          <c:xMode val="edge"/>
          <c:yMode val="edge"/>
          <c:x val="0.19742180664916886"/>
          <c:y val="2.05479424350201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66FF"/>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5A5D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93F9C"/>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532C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7B3E7"/>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11110763242074E-2"/>
          <c:y val="0.14424920127795526"/>
          <c:w val="0.86864091044285463"/>
          <c:h val="0.73222434655731927"/>
        </c:manualLayout>
      </c:layout>
      <c:barChart>
        <c:barDir val="col"/>
        <c:grouping val="stacked"/>
        <c:varyColors val="0"/>
        <c:ser>
          <c:idx val="0"/>
          <c:order val="0"/>
          <c:tx>
            <c:strRef>
              <c:f>'Pivot-Table'!$C$20:$C$21</c:f>
              <c:strCache>
                <c:ptCount val="1"/>
                <c:pt idx="0">
                  <c:v>Cancelled</c:v>
                </c:pt>
              </c:strCache>
            </c:strRef>
          </c:tx>
          <c:spPr>
            <a:solidFill>
              <a:srgbClr val="FF66FF"/>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'Pivot-Table'!$C$22:$C$27</c:f>
              <c:numCache>
                <c:formatCode>"₹"\ #,##0.00</c:formatCode>
                <c:ptCount val="5"/>
                <c:pt idx="0">
                  <c:v>7872.5289010989</c:v>
                </c:pt>
                <c:pt idx="1">
                  <c:v>7481.05</c:v>
                </c:pt>
                <c:pt idx="2">
                  <c:v>6761.73</c:v>
                </c:pt>
                <c:pt idx="3">
                  <c:v>4108.3599999999997</c:v>
                </c:pt>
                <c:pt idx="4">
                  <c:v>4935.6689010989003</c:v>
                </c:pt>
              </c:numCache>
            </c:numRef>
          </c:val>
          <c:extLst>
            <c:ext xmlns:c16="http://schemas.microsoft.com/office/drawing/2014/chart" uri="{C3380CC4-5D6E-409C-BE32-E72D297353CC}">
              <c16:uniqueId val="{00000000-B04D-494B-98D6-C9406DCE7900}"/>
            </c:ext>
          </c:extLst>
        </c:ser>
        <c:ser>
          <c:idx val="1"/>
          <c:order val="1"/>
          <c:tx>
            <c:strRef>
              <c:f>'Pivot-Table'!$D$20:$D$21</c:f>
              <c:strCache>
                <c:ptCount val="1"/>
                <c:pt idx="0">
                  <c:v>Delivered</c:v>
                </c:pt>
              </c:strCache>
            </c:strRef>
          </c:tx>
          <c:spPr>
            <a:solidFill>
              <a:srgbClr val="F5A5D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'Pivot-Table'!$D$22:$D$27</c:f>
              <c:numCache>
                <c:formatCode>"₹"\ #,##0.00</c:formatCode>
                <c:ptCount val="5"/>
                <c:pt idx="1">
                  <c:v>3894.7799999999997</c:v>
                </c:pt>
                <c:pt idx="2">
                  <c:v>4024.82</c:v>
                </c:pt>
                <c:pt idx="3">
                  <c:v>3775.462813888239</c:v>
                </c:pt>
                <c:pt idx="4">
                  <c:v>5087.1000000000004</c:v>
                </c:pt>
              </c:numCache>
            </c:numRef>
          </c:val>
          <c:extLst>
            <c:ext xmlns:c16="http://schemas.microsoft.com/office/drawing/2014/chart" uri="{C3380CC4-5D6E-409C-BE32-E72D297353CC}">
              <c16:uniqueId val="{00000005-C7D6-46CF-90FB-2E403D48FEC9}"/>
            </c:ext>
          </c:extLst>
        </c:ser>
        <c:ser>
          <c:idx val="2"/>
          <c:order val="2"/>
          <c:tx>
            <c:strRef>
              <c:f>'Pivot-Table'!$E$20:$E$21</c:f>
              <c:strCache>
                <c:ptCount val="1"/>
                <c:pt idx="0">
                  <c:v>Processing</c:v>
                </c:pt>
              </c:strCache>
            </c:strRef>
          </c:tx>
          <c:spPr>
            <a:solidFill>
              <a:srgbClr val="E93F9C"/>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'Pivot-Table'!$E$22:$E$27</c:f>
              <c:numCache>
                <c:formatCode>"₹"\ #,##0.00</c:formatCode>
                <c:ptCount val="5"/>
                <c:pt idx="0">
                  <c:v>4887.6299999999992</c:v>
                </c:pt>
                <c:pt idx="1">
                  <c:v>9432.75</c:v>
                </c:pt>
                <c:pt idx="2">
                  <c:v>23602.019560439559</c:v>
                </c:pt>
                <c:pt idx="3">
                  <c:v>6946.3158230067793</c:v>
                </c:pt>
                <c:pt idx="4">
                  <c:v>10182.788390226795</c:v>
                </c:pt>
              </c:numCache>
            </c:numRef>
          </c:val>
          <c:extLst>
            <c:ext xmlns:c16="http://schemas.microsoft.com/office/drawing/2014/chart" uri="{C3380CC4-5D6E-409C-BE32-E72D297353CC}">
              <c16:uniqueId val="{00000001-9F30-4C69-AC51-4B128217AB83}"/>
            </c:ext>
          </c:extLst>
        </c:ser>
        <c:ser>
          <c:idx val="3"/>
          <c:order val="3"/>
          <c:tx>
            <c:strRef>
              <c:f>'Pivot-Table'!$F$20:$F$21</c:f>
              <c:strCache>
                <c:ptCount val="1"/>
                <c:pt idx="0">
                  <c:v>Returned</c:v>
                </c:pt>
              </c:strCache>
            </c:strRef>
          </c:tx>
          <c:spPr>
            <a:solidFill>
              <a:srgbClr val="9532C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'Pivot-Table'!$F$22:$F$27</c:f>
              <c:numCache>
                <c:formatCode>"₹"\ #,##0.00</c:formatCode>
                <c:ptCount val="5"/>
                <c:pt idx="0">
                  <c:v>22151.96</c:v>
                </c:pt>
                <c:pt idx="1">
                  <c:v>3774.6528372691132</c:v>
                </c:pt>
                <c:pt idx="2">
                  <c:v>5190.26</c:v>
                </c:pt>
                <c:pt idx="3">
                  <c:v>8228.33</c:v>
                </c:pt>
                <c:pt idx="4">
                  <c:v>4672.4004255319151</c:v>
                </c:pt>
              </c:numCache>
            </c:numRef>
          </c:val>
          <c:extLst>
            <c:ext xmlns:c16="http://schemas.microsoft.com/office/drawing/2014/chart" uri="{C3380CC4-5D6E-409C-BE32-E72D297353CC}">
              <c16:uniqueId val="{00000002-9F30-4C69-AC51-4B128217AB83}"/>
            </c:ext>
          </c:extLst>
        </c:ser>
        <c:ser>
          <c:idx val="4"/>
          <c:order val="4"/>
          <c:tx>
            <c:strRef>
              <c:f>'Pivot-Table'!$G$20:$G$21</c:f>
              <c:strCache>
                <c:ptCount val="1"/>
                <c:pt idx="0">
                  <c:v>Shipped</c:v>
                </c:pt>
              </c:strCache>
            </c:strRef>
          </c:tx>
          <c:spPr>
            <a:solidFill>
              <a:srgbClr val="F7B3E7"/>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'Pivot-Table'!$G$22:$G$27</c:f>
              <c:numCache>
                <c:formatCode>"₹"\ #,##0.00</c:formatCode>
                <c:ptCount val="5"/>
                <c:pt idx="0">
                  <c:v>8268.84</c:v>
                </c:pt>
                <c:pt idx="1">
                  <c:v>9811.6095604395596</c:v>
                </c:pt>
                <c:pt idx="2">
                  <c:v>4598.3999999999996</c:v>
                </c:pt>
                <c:pt idx="3">
                  <c:v>10941.589999999998</c:v>
                </c:pt>
                <c:pt idx="4">
                  <c:v>2446.6338297872339</c:v>
                </c:pt>
              </c:numCache>
            </c:numRef>
          </c:val>
          <c:extLst>
            <c:ext xmlns:c16="http://schemas.microsoft.com/office/drawing/2014/chart" uri="{C3380CC4-5D6E-409C-BE32-E72D297353CC}">
              <c16:uniqueId val="{00000004-9F30-4C69-AC51-4B128217AB83}"/>
            </c:ext>
          </c:extLst>
        </c:ser>
        <c:dLbls>
          <c:dLblPos val="ctr"/>
          <c:showLegendKey val="0"/>
          <c:showVal val="1"/>
          <c:showCatName val="0"/>
          <c:showSerName val="0"/>
          <c:showPercent val="0"/>
          <c:showBubbleSize val="0"/>
        </c:dLbls>
        <c:gapWidth val="150"/>
        <c:overlap val="100"/>
        <c:axId val="1501067808"/>
        <c:axId val="1501073568"/>
      </c:barChart>
      <c:catAx>
        <c:axId val="15010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73568"/>
        <c:crosses val="autoZero"/>
        <c:auto val="1"/>
        <c:lblAlgn val="ctr"/>
        <c:lblOffset val="100"/>
        <c:noMultiLvlLbl val="0"/>
      </c:catAx>
      <c:valAx>
        <c:axId val="150107356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6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[Project-Dashboard.xlsx]Pivot-Table!PivotTable1</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kern="1200" spc="-1" baseline="0">
                <a:solidFill>
                  <a:srgbClr val="000000"/>
                </a:solidFill>
                <a:latin typeface="Calibri"/>
              </a:rPr>
              <a:t>Order Count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93B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rgbClr val="D93BA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'Pivot-Table'!$A$4:$A$9</c:f>
              <c:strCache>
                <c:ptCount val="5"/>
                <c:pt idx="0">
                  <c:v>Books</c:v>
                </c:pt>
                <c:pt idx="1">
                  <c:v>Clothing</c:v>
                </c:pt>
                <c:pt idx="2">
                  <c:v>Electronics</c:v>
                </c:pt>
                <c:pt idx="3">
                  <c:v>Home</c:v>
                </c:pt>
                <c:pt idx="4">
                  <c:v>Sports</c:v>
                </c:pt>
              </c:strCache>
            </c:strRef>
          </c:cat>
          <c:val>
            <c:numRef>
              <c:f>'Pivot-Table'!$B$4:$B$9</c:f>
              <c:numCache>
                <c:formatCode>General</c:formatCode>
                <c:ptCount val="5"/>
                <c:pt idx="0">
                  <c:v>23</c:v>
                </c:pt>
                <c:pt idx="1">
                  <c:v>16</c:v>
                </c:pt>
                <c:pt idx="2">
                  <c:v>23</c:v>
                </c:pt>
                <c:pt idx="3">
                  <c:v>20</c:v>
                </c:pt>
                <c:pt idx="4">
                  <c:v>18</c:v>
                </c:pt>
              </c:numCache>
            </c:numRef>
          </c:val>
          <c:extLst>
            <c:ext xmlns:c16="http://schemas.microsoft.com/office/drawing/2014/chart" uri="{C3380CC4-5D6E-409C-BE32-E72D297353CC}">
              <c16:uniqueId val="{00000000-C18C-4F87-BB52-38A2F813DB40}"/>
            </c:ext>
          </c:extLst>
        </c:ser>
        <c:dLbls>
          <c:dLblPos val="outEnd"/>
          <c:showLegendKey val="0"/>
          <c:showVal val="1"/>
          <c:showCatName val="0"/>
          <c:showSerName val="0"/>
          <c:showPercent val="0"/>
          <c:showBubbleSize val="0"/>
        </c:dLbls>
        <c:gapWidth val="219"/>
        <c:overlap val="-27"/>
        <c:axId val="2066569504"/>
        <c:axId val="2066570944"/>
      </c:barChart>
      <c:catAx>
        <c:axId val="20665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70944"/>
        <c:crosses val="autoZero"/>
        <c:auto val="1"/>
        <c:lblAlgn val="ctr"/>
        <c:lblOffset val="100"/>
        <c:noMultiLvlLbl val="0"/>
      </c:catAx>
      <c:valAx>
        <c:axId val="206657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6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1.png"/><Relationship Id="rId7" Type="http://schemas.openxmlformats.org/officeDocument/2006/relationships/chart" Target="../charts/chart1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microsoft.com/office/2007/relationships/hdphoto" Target="../media/hdphoto1.wdp"/><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7</xdr:col>
      <xdr:colOff>822960</xdr:colOff>
      <xdr:row>29</xdr:row>
      <xdr:rowOff>22860</xdr:rowOff>
    </xdr:from>
    <xdr:to>
      <xdr:col>13</xdr:col>
      <xdr:colOff>601980</xdr:colOff>
      <xdr:row>49</xdr:row>
      <xdr:rowOff>160020</xdr:rowOff>
    </xdr:to>
    <xdr:graphicFrame macro="">
      <xdr:nvGraphicFramePr>
        <xdr:cNvPr id="3" name="Chart 2">
          <a:extLst>
            <a:ext uri="{FF2B5EF4-FFF2-40B4-BE49-F238E27FC236}">
              <a16:creationId xmlns:a16="http://schemas.microsoft.com/office/drawing/2014/main" id="{6996782C-EF0B-E483-509F-598CFC636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52</xdr:row>
      <xdr:rowOff>144780</xdr:rowOff>
    </xdr:from>
    <xdr:to>
      <xdr:col>7</xdr:col>
      <xdr:colOff>38100</xdr:colOff>
      <xdr:row>68</xdr:row>
      <xdr:rowOff>0</xdr:rowOff>
    </xdr:to>
    <xdr:graphicFrame macro="">
      <xdr:nvGraphicFramePr>
        <xdr:cNvPr id="4" name="Chart 3">
          <a:extLst>
            <a:ext uri="{FF2B5EF4-FFF2-40B4-BE49-F238E27FC236}">
              <a16:creationId xmlns:a16="http://schemas.microsoft.com/office/drawing/2014/main" id="{FD3F27E3-2826-8CFA-E84B-3D5016F47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xdr:colOff>
      <xdr:row>52</xdr:row>
      <xdr:rowOff>160020</xdr:rowOff>
    </xdr:from>
    <xdr:to>
      <xdr:col>15</xdr:col>
      <xdr:colOff>792480</xdr:colOff>
      <xdr:row>68</xdr:row>
      <xdr:rowOff>15240</xdr:rowOff>
    </xdr:to>
    <xdr:graphicFrame macro="">
      <xdr:nvGraphicFramePr>
        <xdr:cNvPr id="5" name="Chart 4">
          <a:extLst>
            <a:ext uri="{FF2B5EF4-FFF2-40B4-BE49-F238E27FC236}">
              <a16:creationId xmlns:a16="http://schemas.microsoft.com/office/drawing/2014/main" id="{8C4E5F27-7BFF-A0A5-0C1E-C43789122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723900</xdr:colOff>
      <xdr:row>70</xdr:row>
      <xdr:rowOff>7620</xdr:rowOff>
    </xdr:from>
    <xdr:to>
      <xdr:col>7</xdr:col>
      <xdr:colOff>7620</xdr:colOff>
      <xdr:row>85</xdr:row>
      <xdr:rowOff>152400</xdr:rowOff>
    </xdr:to>
    <xdr:graphicFrame macro="">
      <xdr:nvGraphicFramePr>
        <xdr:cNvPr id="6" name="Chart 5">
          <a:extLst>
            <a:ext uri="{FF2B5EF4-FFF2-40B4-BE49-F238E27FC236}">
              <a16:creationId xmlns:a16="http://schemas.microsoft.com/office/drawing/2014/main" id="{F1DB682D-046C-3854-ABF4-EE0B2E214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xdr:colOff>
      <xdr:row>70</xdr:row>
      <xdr:rowOff>22860</xdr:rowOff>
    </xdr:from>
    <xdr:to>
      <xdr:col>13</xdr:col>
      <xdr:colOff>579120</xdr:colOff>
      <xdr:row>85</xdr:row>
      <xdr:rowOff>152400</xdr:rowOff>
    </xdr:to>
    <xdr:graphicFrame macro="">
      <xdr:nvGraphicFramePr>
        <xdr:cNvPr id="7" name="Chart 6">
          <a:extLst>
            <a:ext uri="{FF2B5EF4-FFF2-40B4-BE49-F238E27FC236}">
              <a16:creationId xmlns:a16="http://schemas.microsoft.com/office/drawing/2014/main" id="{9E6665D8-13BD-45B6-5E57-9E28D1B22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22860</xdr:colOff>
      <xdr:row>89</xdr:row>
      <xdr:rowOff>30480</xdr:rowOff>
    </xdr:from>
    <xdr:to>
      <xdr:col>7</xdr:col>
      <xdr:colOff>7620</xdr:colOff>
      <xdr:row>104</xdr:row>
      <xdr:rowOff>152400</xdr:rowOff>
    </xdr:to>
    <xdr:graphicFrame macro="">
      <xdr:nvGraphicFramePr>
        <xdr:cNvPr id="8" name="Chart 7">
          <a:extLst>
            <a:ext uri="{FF2B5EF4-FFF2-40B4-BE49-F238E27FC236}">
              <a16:creationId xmlns:a16="http://schemas.microsoft.com/office/drawing/2014/main" id="{3599C318-5B26-A5FC-4015-FE52DD509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22860</xdr:colOff>
      <xdr:row>88</xdr:row>
      <xdr:rowOff>121920</xdr:rowOff>
    </xdr:from>
    <xdr:to>
      <xdr:col>13</xdr:col>
      <xdr:colOff>563880</xdr:colOff>
      <xdr:row>104</xdr:row>
      <xdr:rowOff>152400</xdr:rowOff>
    </xdr:to>
    <xdr:graphicFrame macro="">
      <xdr:nvGraphicFramePr>
        <xdr:cNvPr id="9" name="Chart 8">
          <a:extLst>
            <a:ext uri="{FF2B5EF4-FFF2-40B4-BE49-F238E27FC236}">
              <a16:creationId xmlns:a16="http://schemas.microsoft.com/office/drawing/2014/main" id="{E935C075-159C-FC35-3605-81D11C248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45720</xdr:colOff>
      <xdr:row>29</xdr:row>
      <xdr:rowOff>7620</xdr:rowOff>
    </xdr:from>
    <xdr:to>
      <xdr:col>7</xdr:col>
      <xdr:colOff>0</xdr:colOff>
      <xdr:row>50</xdr:row>
      <xdr:rowOff>160020</xdr:rowOff>
    </xdr:to>
    <xdr:graphicFrame macro="">
      <xdr:nvGraphicFramePr>
        <xdr:cNvPr id="10" name="Chart 9">
          <a:extLst>
            <a:ext uri="{FF2B5EF4-FFF2-40B4-BE49-F238E27FC236}">
              <a16:creationId xmlns:a16="http://schemas.microsoft.com/office/drawing/2014/main" id="{A8494812-4C9C-D0FE-F2E6-F72DCCBC1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43815</xdr:colOff>
      <xdr:row>10</xdr:row>
      <xdr:rowOff>131446</xdr:rowOff>
    </xdr:from>
    <xdr:to>
      <xdr:col>19</xdr:col>
      <xdr:colOff>36823</xdr:colOff>
      <xdr:row>20</xdr:row>
      <xdr:rowOff>9526</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DA23CD29-C58C-68B9-C7B3-9C52430619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55090" y="2036446"/>
              <a:ext cx="1789423"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215265</xdr:colOff>
      <xdr:row>25</xdr:row>
      <xdr:rowOff>100965</xdr:rowOff>
    </xdr:from>
    <xdr:to>
      <xdr:col>16</xdr:col>
      <xdr:colOff>406156</xdr:colOff>
      <xdr:row>33</xdr:row>
      <xdr:rowOff>0</xdr:rowOff>
    </xdr:to>
    <mc:AlternateContent xmlns:mc="http://schemas.openxmlformats.org/markup-compatibility/2006" xmlns:a14="http://schemas.microsoft.com/office/drawing/2010/main">
      <mc:Choice Requires="a14">
        <xdr:graphicFrame macro="">
          <xdr:nvGraphicFramePr>
            <xdr:cNvPr id="11" name="Payment_Method">
              <a:extLst>
                <a:ext uri="{FF2B5EF4-FFF2-40B4-BE49-F238E27FC236}">
                  <a16:creationId xmlns:a16="http://schemas.microsoft.com/office/drawing/2014/main" id="{FA731407-86D1-FE95-BCF2-76E26FE78CD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921490" y="4863465"/>
              <a:ext cx="1802521" cy="1423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15</xdr:row>
      <xdr:rowOff>129540</xdr:rowOff>
    </xdr:from>
    <xdr:to>
      <xdr:col>16</xdr:col>
      <xdr:colOff>434731</xdr:colOff>
      <xdr:row>24</xdr:row>
      <xdr:rowOff>161925</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93D25184-AF02-B967-677E-8D9E1EA2B82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237720" y="2872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20</xdr:row>
      <xdr:rowOff>133350</xdr:rowOff>
    </xdr:from>
    <xdr:to>
      <xdr:col>19</xdr:col>
      <xdr:colOff>78152</xdr:colOff>
      <xdr:row>28</xdr:row>
      <xdr:rowOff>34290</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B1D5D1C5-91BC-230C-1FB9-0F9881F7C47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079855" y="3943350"/>
              <a:ext cx="1805987"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29633</xdr:colOff>
      <xdr:row>9</xdr:row>
      <xdr:rowOff>8042</xdr:rowOff>
    </xdr:from>
    <xdr:to>
      <xdr:col>5</xdr:col>
      <xdr:colOff>296333</xdr:colOff>
      <xdr:row>22</xdr:row>
      <xdr:rowOff>95249</xdr:rowOff>
    </xdr:to>
    <xdr:graphicFrame macro="">
      <xdr:nvGraphicFramePr>
        <xdr:cNvPr id="2" name="Chart 1">
          <a:extLst>
            <a:ext uri="{FF2B5EF4-FFF2-40B4-BE49-F238E27FC236}">
              <a16:creationId xmlns:a16="http://schemas.microsoft.com/office/drawing/2014/main" id="{57F1A3E4-63F1-4CCB-AA95-1783E92D6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342053</xdr:colOff>
      <xdr:row>8</xdr:row>
      <xdr:rowOff>189229</xdr:rowOff>
    </xdr:from>
    <xdr:to>
      <xdr:col>10</xdr:col>
      <xdr:colOff>448733</xdr:colOff>
      <xdr:row>22</xdr:row>
      <xdr:rowOff>95249</xdr:rowOff>
    </xdr:to>
    <xdr:graphicFrame macro="">
      <xdr:nvGraphicFramePr>
        <xdr:cNvPr id="3" name="Chart 2">
          <a:extLst>
            <a:ext uri="{FF2B5EF4-FFF2-40B4-BE49-F238E27FC236}">
              <a16:creationId xmlns:a16="http://schemas.microsoft.com/office/drawing/2014/main" id="{48A2C37D-0CCF-48D9-A073-A07D55C82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277092</xdr:colOff>
      <xdr:row>0</xdr:row>
      <xdr:rowOff>86937</xdr:rowOff>
    </xdr:from>
    <xdr:to>
      <xdr:col>6</xdr:col>
      <xdr:colOff>225137</xdr:colOff>
      <xdr:row>2</xdr:row>
      <xdr:rowOff>132657</xdr:rowOff>
    </xdr:to>
    <xdr:sp macro="" textlink="">
      <xdr:nvSpPr>
        <xdr:cNvPr id="4" name="Rectangle: Rounded Corners 3">
          <a:extLst>
            <a:ext uri="{FF2B5EF4-FFF2-40B4-BE49-F238E27FC236}">
              <a16:creationId xmlns:a16="http://schemas.microsoft.com/office/drawing/2014/main" id="{05B2A380-EA16-4470-89B5-1F476A24EADC}"/>
            </a:ext>
          </a:extLst>
        </xdr:cNvPr>
        <xdr:cNvSpPr/>
      </xdr:nvSpPr>
      <xdr:spPr>
        <a:xfrm>
          <a:off x="865910" y="86937"/>
          <a:ext cx="2892136" cy="426720"/>
        </a:xfrm>
        <a:prstGeom prst="roundRect">
          <a:avLst/>
        </a:prstGeom>
        <a:noFill/>
        <a:ln>
          <a:solidFill>
            <a:srgbClr val="9532C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E</a:t>
          </a:r>
          <a:r>
            <a:rPr lang="en-IN" sz="1800" b="1" baseline="0">
              <a:solidFill>
                <a:schemeClr val="bg1"/>
              </a:solidFill>
            </a:rPr>
            <a:t>-COMMERCE DASHBOARD</a:t>
          </a:r>
          <a:endParaRPr lang="en-IN" sz="1800" b="1">
            <a:solidFill>
              <a:schemeClr val="bg1"/>
            </a:solidFill>
          </a:endParaRPr>
        </a:p>
      </xdr:txBody>
    </xdr:sp>
    <xdr:clientData/>
  </xdr:twoCellAnchor>
  <xdr:twoCellAnchor editAs="oneCell">
    <xdr:from>
      <xdr:col>0</xdr:col>
      <xdr:colOff>213708</xdr:colOff>
      <xdr:row>0</xdr:row>
      <xdr:rowOff>22861</xdr:rowOff>
    </xdr:from>
    <xdr:to>
      <xdr:col>1</xdr:col>
      <xdr:colOff>167988</xdr:colOff>
      <xdr:row>2</xdr:row>
      <xdr:rowOff>148728</xdr:rowOff>
    </xdr:to>
    <xdr:pic>
      <xdr:nvPicPr>
        <xdr:cNvPr id="8" name="Picture 7">
          <a:extLst>
            <a:ext uri="{FF2B5EF4-FFF2-40B4-BE49-F238E27FC236}">
              <a16:creationId xmlns:a16="http://schemas.microsoft.com/office/drawing/2014/main" id="{B7BB6C1E-D843-4EB3-9F51-73D11AEC07F4}"/>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aturation sat="330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13708" y="22861"/>
          <a:ext cx="543098" cy="506867"/>
        </a:xfrm>
        <a:prstGeom prst="rect">
          <a:avLst/>
        </a:prstGeom>
        <a:effectLst>
          <a:outerShdw blurRad="50800" dist="38100" dir="2700000" algn="tl" rotWithShape="0">
            <a:prstClr val="black">
              <a:alpha val="40000"/>
            </a:prstClr>
          </a:outerShdw>
        </a:effectLst>
      </xdr:spPr>
    </xdr:pic>
    <xdr:clientData/>
  </xdr:twoCellAnchor>
  <xdr:twoCellAnchor>
    <xdr:from>
      <xdr:col>10</xdr:col>
      <xdr:colOff>509693</xdr:colOff>
      <xdr:row>9</xdr:row>
      <xdr:rowOff>6349</xdr:rowOff>
    </xdr:from>
    <xdr:to>
      <xdr:col>16</xdr:col>
      <xdr:colOff>555413</xdr:colOff>
      <xdr:row>22</xdr:row>
      <xdr:rowOff>74082</xdr:rowOff>
    </xdr:to>
    <xdr:graphicFrame macro="">
      <xdr:nvGraphicFramePr>
        <xdr:cNvPr id="6" name="Chart 5">
          <a:extLst>
            <a:ext uri="{FF2B5EF4-FFF2-40B4-BE49-F238E27FC236}">
              <a16:creationId xmlns:a16="http://schemas.microsoft.com/office/drawing/2014/main" id="{627695DC-FDA4-418F-A63E-29E592F1D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23</xdr:row>
      <xdr:rowOff>6350</xdr:rowOff>
    </xdr:from>
    <xdr:to>
      <xdr:col>5</xdr:col>
      <xdr:colOff>274320</xdr:colOff>
      <xdr:row>36</xdr:row>
      <xdr:rowOff>6350</xdr:rowOff>
    </xdr:to>
    <xdr:graphicFrame macro="">
      <xdr:nvGraphicFramePr>
        <xdr:cNvPr id="7" name="Chart 6">
          <a:extLst>
            <a:ext uri="{FF2B5EF4-FFF2-40B4-BE49-F238E27FC236}">
              <a16:creationId xmlns:a16="http://schemas.microsoft.com/office/drawing/2014/main" id="{C939FEB8-BBC4-44A3-9CA1-1C0B56782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335280</xdr:colOff>
      <xdr:row>23</xdr:row>
      <xdr:rowOff>8889</xdr:rowOff>
    </xdr:from>
    <xdr:to>
      <xdr:col>10</xdr:col>
      <xdr:colOff>472440</xdr:colOff>
      <xdr:row>35</xdr:row>
      <xdr:rowOff>188381</xdr:rowOff>
    </xdr:to>
    <xdr:graphicFrame macro="">
      <xdr:nvGraphicFramePr>
        <xdr:cNvPr id="9" name="Chart 8">
          <a:extLst>
            <a:ext uri="{FF2B5EF4-FFF2-40B4-BE49-F238E27FC236}">
              <a16:creationId xmlns:a16="http://schemas.microsoft.com/office/drawing/2014/main" id="{BD8CF8EA-D009-4CC5-9A85-69A8F6D5E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541020</xdr:colOff>
      <xdr:row>23</xdr:row>
      <xdr:rowOff>8889</xdr:rowOff>
    </xdr:from>
    <xdr:to>
      <xdr:col>16</xdr:col>
      <xdr:colOff>533400</xdr:colOff>
      <xdr:row>35</xdr:row>
      <xdr:rowOff>179915</xdr:rowOff>
    </xdr:to>
    <xdr:graphicFrame macro="">
      <xdr:nvGraphicFramePr>
        <xdr:cNvPr id="10" name="Chart 9">
          <a:extLst>
            <a:ext uri="{FF2B5EF4-FFF2-40B4-BE49-F238E27FC236}">
              <a16:creationId xmlns:a16="http://schemas.microsoft.com/office/drawing/2014/main" id="{722F69C5-595B-4C5D-B608-67BE690EE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885</xdr:colOff>
      <xdr:row>9</xdr:row>
      <xdr:rowOff>6349</xdr:rowOff>
    </xdr:from>
    <xdr:to>
      <xdr:col>23</xdr:col>
      <xdr:colOff>885</xdr:colOff>
      <xdr:row>22</xdr:row>
      <xdr:rowOff>57149</xdr:rowOff>
    </xdr:to>
    <xdr:graphicFrame macro="">
      <xdr:nvGraphicFramePr>
        <xdr:cNvPr id="11" name="Chart 10">
          <a:extLst>
            <a:ext uri="{FF2B5EF4-FFF2-40B4-BE49-F238E27FC236}">
              <a16:creationId xmlns:a16="http://schemas.microsoft.com/office/drawing/2014/main" id="{131A348E-7F46-4390-A872-B1F4B539F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7620</xdr:colOff>
      <xdr:row>23</xdr:row>
      <xdr:rowOff>1270</xdr:rowOff>
    </xdr:from>
    <xdr:to>
      <xdr:col>23</xdr:col>
      <xdr:colOff>15240</xdr:colOff>
      <xdr:row>35</xdr:row>
      <xdr:rowOff>154516</xdr:rowOff>
    </xdr:to>
    <xdr:graphicFrame macro="">
      <xdr:nvGraphicFramePr>
        <xdr:cNvPr id="12" name="Chart 11">
          <a:extLst>
            <a:ext uri="{FF2B5EF4-FFF2-40B4-BE49-F238E27FC236}">
              <a16:creationId xmlns:a16="http://schemas.microsoft.com/office/drawing/2014/main" id="{B23CEE26-3316-4CFE-A89D-22DA1D44D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23</xdr:col>
      <xdr:colOff>104256</xdr:colOff>
      <xdr:row>4</xdr:row>
      <xdr:rowOff>113001</xdr:rowOff>
    </xdr:from>
    <xdr:to>
      <xdr:col>25</xdr:col>
      <xdr:colOff>585163</xdr:colOff>
      <xdr:row>11</xdr:row>
      <xdr:rowOff>75767</xdr:rowOff>
    </xdr:to>
    <mc:AlternateContent xmlns:mc="http://schemas.openxmlformats.org/markup-compatibility/2006" xmlns:tsle="http://schemas.microsoft.com/office/drawing/2012/timeslicer">
      <mc:Choice Requires="tsle">
        <xdr:graphicFrame macro="">
          <xdr:nvGraphicFramePr>
            <xdr:cNvPr id="13" name="Order_Date 1">
              <a:extLst>
                <a:ext uri="{FF2B5EF4-FFF2-40B4-BE49-F238E27FC236}">
                  <a16:creationId xmlns:a16="http://schemas.microsoft.com/office/drawing/2014/main" id="{E9EEEA01-1539-4E62-827F-24EBC0CAA190}"/>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3796444" y="892319"/>
              <a:ext cx="1671532" cy="13265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112722</xdr:colOff>
      <xdr:row>11</xdr:row>
      <xdr:rowOff>65038</xdr:rowOff>
    </xdr:from>
    <xdr:to>
      <xdr:col>25</xdr:col>
      <xdr:colOff>585162</xdr:colOff>
      <xdr:row>18</xdr:row>
      <xdr:rowOff>137006</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29D6FE79-C89B-41DF-9539-9589312137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744055" y="2160538"/>
              <a:ext cx="1657774" cy="1405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113569</xdr:colOff>
      <xdr:row>19</xdr:row>
      <xdr:rowOff>693</xdr:rowOff>
    </xdr:from>
    <xdr:to>
      <xdr:col>25</xdr:col>
      <xdr:colOff>568229</xdr:colOff>
      <xdr:row>27</xdr:row>
      <xdr:rowOff>180186</xdr:rowOff>
    </xdr:to>
    <mc:AlternateContent xmlns:mc="http://schemas.openxmlformats.org/markup-compatibility/2006" xmlns:a14="http://schemas.microsoft.com/office/drawing/2010/main">
      <mc:Choice Requires="a14">
        <xdr:graphicFrame macro="">
          <xdr:nvGraphicFramePr>
            <xdr:cNvPr id="15" name="Status 1">
              <a:extLst>
                <a:ext uri="{FF2B5EF4-FFF2-40B4-BE49-F238E27FC236}">
                  <a16:creationId xmlns:a16="http://schemas.microsoft.com/office/drawing/2014/main" id="{C1004624-CAE2-449B-B2C1-FFE7D0CB668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3744902" y="3620193"/>
              <a:ext cx="1639994" cy="1711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119496</xdr:colOff>
      <xdr:row>28</xdr:row>
      <xdr:rowOff>45567</xdr:rowOff>
    </xdr:from>
    <xdr:to>
      <xdr:col>25</xdr:col>
      <xdr:colOff>542830</xdr:colOff>
      <xdr:row>35</xdr:row>
      <xdr:rowOff>170872</xdr:rowOff>
    </xdr:to>
    <mc:AlternateContent xmlns:mc="http://schemas.openxmlformats.org/markup-compatibility/2006" xmlns:a14="http://schemas.microsoft.com/office/drawing/2010/main">
      <mc:Choice Requires="a14">
        <xdr:graphicFrame macro="">
          <xdr:nvGraphicFramePr>
            <xdr:cNvPr id="16" name="Payment_Method 1">
              <a:extLst>
                <a:ext uri="{FF2B5EF4-FFF2-40B4-BE49-F238E27FC236}">
                  <a16:creationId xmlns:a16="http://schemas.microsoft.com/office/drawing/2014/main" id="{05EF83C3-5CF7-4785-899F-33D061EFFA3E}"/>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3750829" y="5379567"/>
              <a:ext cx="1608668" cy="1458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190499</xdr:colOff>
      <xdr:row>3</xdr:row>
      <xdr:rowOff>60614</xdr:rowOff>
    </xdr:from>
    <xdr:to>
      <xdr:col>10</xdr:col>
      <xdr:colOff>155862</xdr:colOff>
      <xdr:row>8</xdr:row>
      <xdr:rowOff>77933</xdr:rowOff>
    </xdr:to>
    <xdr:sp macro="" textlink="Sheet1!C6">
      <xdr:nvSpPr>
        <xdr:cNvPr id="5" name="Rectangle: Rounded Corners 4">
          <a:extLst>
            <a:ext uri="{FF2B5EF4-FFF2-40B4-BE49-F238E27FC236}">
              <a16:creationId xmlns:a16="http://schemas.microsoft.com/office/drawing/2014/main" id="{F4746E6A-2334-7DE1-67A4-FD5B8F92D8F6}"/>
            </a:ext>
          </a:extLst>
        </xdr:cNvPr>
        <xdr:cNvSpPr/>
      </xdr:nvSpPr>
      <xdr:spPr>
        <a:xfrm>
          <a:off x="3827317" y="606137"/>
          <a:ext cx="2389909" cy="926523"/>
        </a:xfrm>
        <a:prstGeom prst="roundRect">
          <a:avLst/>
        </a:prstGeom>
        <a:solidFill>
          <a:srgbClr val="F7B3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D1782F8-C43A-492A-9BC3-4B59E38F4F16}" type="TxLink">
            <a:rPr lang="en-US" sz="1800" b="1" i="0" u="none" strike="noStrike">
              <a:solidFill>
                <a:schemeClr val="tx1"/>
              </a:solidFill>
              <a:latin typeface="Arial Rounded MT Bold" panose="020F0704030504030204" pitchFamily="34" charset="0"/>
              <a:ea typeface="Calibri"/>
              <a:cs typeface="Calibri"/>
            </a:rPr>
            <a:pPr algn="ctr"/>
            <a:t>📦 Total Orders: 100</a:t>
          </a:fld>
          <a:endParaRPr lang="en-IN" sz="1800" b="1">
            <a:solidFill>
              <a:schemeClr val="tx1"/>
            </a:solidFill>
            <a:latin typeface="Arial Rounded MT Bold" panose="020F0704030504030204" pitchFamily="34" charset="0"/>
          </a:endParaRPr>
        </a:p>
      </xdr:txBody>
    </xdr:sp>
    <xdr:clientData/>
  </xdr:twoCellAnchor>
  <xdr:twoCellAnchor>
    <xdr:from>
      <xdr:col>0</xdr:col>
      <xdr:colOff>571500</xdr:colOff>
      <xdr:row>3</xdr:row>
      <xdr:rowOff>43295</xdr:rowOff>
    </xdr:from>
    <xdr:to>
      <xdr:col>4</xdr:col>
      <xdr:colOff>536863</xdr:colOff>
      <xdr:row>8</xdr:row>
      <xdr:rowOff>60614</xdr:rowOff>
    </xdr:to>
    <xdr:sp macro="" textlink="Sheet1!C2">
      <xdr:nvSpPr>
        <xdr:cNvPr id="21" name="Rectangle: Rounded Corners 20">
          <a:extLst>
            <a:ext uri="{FF2B5EF4-FFF2-40B4-BE49-F238E27FC236}">
              <a16:creationId xmlns:a16="http://schemas.microsoft.com/office/drawing/2014/main" id="{95C9F910-6C60-43A8-A05F-94BC543EC988}"/>
            </a:ext>
          </a:extLst>
        </xdr:cNvPr>
        <xdr:cNvSpPr/>
      </xdr:nvSpPr>
      <xdr:spPr>
        <a:xfrm>
          <a:off x="571500" y="588818"/>
          <a:ext cx="2389908" cy="926523"/>
        </a:xfrm>
        <a:prstGeom prst="roundRect">
          <a:avLst/>
        </a:prstGeom>
        <a:solidFill>
          <a:srgbClr val="F7B3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ADCB59C-8DC7-4506-950B-6E0F1A6A9D27}" type="TxLink">
            <a:rPr lang="en-US" sz="1800" b="1" i="0" u="none" strike="noStrike">
              <a:solidFill>
                <a:schemeClr val="tx1"/>
              </a:solidFill>
              <a:latin typeface="Arial Rounded MT Bold" panose="020F0704030504030204" pitchFamily="34" charset="0"/>
              <a:ea typeface="Calibri"/>
              <a:cs typeface="Calibri"/>
            </a:rPr>
            <a:pPr algn="ctr"/>
            <a:t>💰 Total Revenue: ₹1,83,078</a:t>
          </a:fld>
          <a:endParaRPr lang="en-IN" sz="1800" b="1">
            <a:solidFill>
              <a:schemeClr val="tx1"/>
            </a:solidFill>
            <a:latin typeface="Arial Rounded MT Bold" panose="020F0704030504030204" pitchFamily="34" charset="0"/>
            <a:cs typeface="Arial" panose="020B0604020202020204" pitchFamily="34" charset="0"/>
          </a:endParaRPr>
        </a:p>
      </xdr:txBody>
    </xdr:sp>
    <xdr:clientData/>
  </xdr:twoCellAnchor>
  <xdr:twoCellAnchor>
    <xdr:from>
      <xdr:col>17</xdr:col>
      <xdr:colOff>542060</xdr:colOff>
      <xdr:row>3</xdr:row>
      <xdr:rowOff>69274</xdr:rowOff>
    </xdr:from>
    <xdr:to>
      <xdr:col>22</xdr:col>
      <xdr:colOff>155864</xdr:colOff>
      <xdr:row>8</xdr:row>
      <xdr:rowOff>143742</xdr:rowOff>
    </xdr:to>
    <xdr:sp macro="" textlink="Sheet1!C14">
      <xdr:nvSpPr>
        <xdr:cNvPr id="22" name="Rectangle: Rounded Corners 21">
          <a:extLst>
            <a:ext uri="{FF2B5EF4-FFF2-40B4-BE49-F238E27FC236}">
              <a16:creationId xmlns:a16="http://schemas.microsoft.com/office/drawing/2014/main" id="{09A3F9C9-BB52-4E34-8B0E-F5AC395AC828}"/>
            </a:ext>
          </a:extLst>
        </xdr:cNvPr>
        <xdr:cNvSpPr/>
      </xdr:nvSpPr>
      <xdr:spPr>
        <a:xfrm>
          <a:off x="10846378" y="614797"/>
          <a:ext cx="2644486" cy="983672"/>
        </a:xfrm>
        <a:prstGeom prst="roundRect">
          <a:avLst/>
        </a:prstGeom>
        <a:solidFill>
          <a:srgbClr val="F7B3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6A7CC48-1653-45BE-BF55-8419FDA7EB0F}" type="TxLink">
            <a:rPr lang="en-US" sz="1550" b="1" i="0" u="none" strike="noStrike">
              <a:solidFill>
                <a:schemeClr val="tx1"/>
              </a:solidFill>
              <a:latin typeface="Arial Rounded MT Bold" panose="020F0704030504030204" pitchFamily="34" charset="0"/>
              <a:ea typeface="Calibri"/>
              <a:cs typeface="Calibri"/>
            </a:rPr>
            <a:pPr algn="ctr"/>
            <a:t>🧾 Average Order Price: ₹1,830.78</a:t>
          </a:fld>
          <a:endParaRPr lang="en-US" sz="1550" b="1">
            <a:solidFill>
              <a:schemeClr val="tx1"/>
            </a:solidFill>
            <a:latin typeface="Arial Rounded MT Bold" panose="020F0704030504030204" pitchFamily="34" charset="0"/>
          </a:endParaRPr>
        </a:p>
      </xdr:txBody>
    </xdr:sp>
    <xdr:clientData/>
  </xdr:twoCellAnchor>
  <xdr:twoCellAnchor>
    <xdr:from>
      <xdr:col>11</xdr:col>
      <xdr:colOff>521277</xdr:colOff>
      <xdr:row>3</xdr:row>
      <xdr:rowOff>53686</xdr:rowOff>
    </xdr:from>
    <xdr:to>
      <xdr:col>15</xdr:col>
      <xdr:colOff>486640</xdr:colOff>
      <xdr:row>8</xdr:row>
      <xdr:rowOff>71005</xdr:rowOff>
    </xdr:to>
    <xdr:sp macro="" textlink="Sheet1!C10">
      <xdr:nvSpPr>
        <xdr:cNvPr id="26" name="Rectangle: Rounded Corners 25">
          <a:extLst>
            <a:ext uri="{FF2B5EF4-FFF2-40B4-BE49-F238E27FC236}">
              <a16:creationId xmlns:a16="http://schemas.microsoft.com/office/drawing/2014/main" id="{0D92344F-F5FA-4314-A977-F6B9E1A66A50}"/>
            </a:ext>
          </a:extLst>
        </xdr:cNvPr>
        <xdr:cNvSpPr/>
      </xdr:nvSpPr>
      <xdr:spPr>
        <a:xfrm>
          <a:off x="7188777" y="599209"/>
          <a:ext cx="2389908" cy="926523"/>
        </a:xfrm>
        <a:prstGeom prst="roundRect">
          <a:avLst/>
        </a:prstGeom>
        <a:solidFill>
          <a:srgbClr val="F7B3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544EBE0-D04A-479F-BCB7-6AE90F986EEE}" type="TxLink">
            <a:rPr lang="en-US" sz="1700" b="1" i="0" u="none" strike="noStrike">
              <a:solidFill>
                <a:schemeClr val="tx1"/>
              </a:solidFill>
              <a:latin typeface="Arial Rounded MT Bold" panose="020F0704030504030204" pitchFamily="34" charset="0"/>
              <a:ea typeface="Calibri"/>
              <a:cs typeface="Calibri"/>
            </a:rPr>
            <a:pPr algn="ctr"/>
            <a:t>🛒 Total Units Sold: 307</a:t>
          </a:fld>
          <a:endParaRPr lang="en-IN" sz="1700" b="1">
            <a:solidFill>
              <a:schemeClr val="tx1"/>
            </a:solidFill>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107.63427534722" createdVersion="8" refreshedVersion="8" minRefreshableVersion="3" recordCount="100" xr:uid="{A3B8C4E6-C589-437E-B472-BB0D8226DA25}">
  <cacheSource type="worksheet">
    <worksheetSource name="Table1"/>
  </cacheSource>
  <cacheFields count="13">
    <cacheField name="ID" numFmtId="0">
      <sharedItems containsSemiMixedTypes="0" containsString="0" containsNumber="1" containsInteger="1" minValue="100" maxValue="199"/>
    </cacheField>
    <cacheField name=" Customer_Name" numFmtId="0">
      <sharedItems/>
    </cacheField>
    <cacheField name="Order_ID" numFmtId="0">
      <sharedItems/>
    </cacheField>
    <cacheField name="Order_Date" numFmtId="14">
      <sharedItems containsSemiMixedTypes="0" containsNonDate="0" containsDate="1" containsString="0" minDate="2023-01-05T00:00:00" maxDate="2025-11-07T00:00:00" count="84">
        <d v="2024-11-22T00:00:00"/>
        <d v="2025-07-05T00:00:00"/>
        <d v="2024-12-23T00:00:00"/>
        <d v="2025-03-19T00:00:00"/>
        <d v="2025-10-20T00:00:00"/>
        <d v="2024-11-20T00:00:00"/>
        <d v="2025-02-02T00:00:00"/>
        <d v="2025-01-03T00:00:00"/>
        <d v="2025-10-23T00:00:00"/>
        <d v="2025-05-03T00:00:00"/>
        <d v="2025-09-26T00:00:00"/>
        <d v="2025-10-22T00:00:00"/>
        <d v="2025-03-02T00:00:00"/>
        <d v="2025-07-24T00:00:00"/>
        <d v="2023-01-05T00:00:00"/>
        <d v="2025-01-10T00:00:00"/>
        <d v="2025-10-30T00:00:00"/>
        <d v="2025-02-12T00:00:00"/>
        <d v="2025-05-31T00:00:00"/>
        <d v="2024-12-19T00:00:00"/>
        <d v="2025-06-13T00:00:00"/>
        <d v="2025-10-11T00:00:00"/>
        <d v="2025-05-16T00:00:00"/>
        <d v="2025-10-06T00:00:00"/>
        <d v="2025-02-09T00:00:00"/>
        <d v="2025-05-18T00:00:00"/>
        <d v="2025-05-12T00:00:00"/>
        <d v="2024-11-10T00:00:00"/>
        <d v="2025-06-22T00:00:00"/>
        <d v="2025-08-15T00:00:00"/>
        <d v="2025-06-11T00:00:00"/>
        <d v="2025-04-02T00:00:00"/>
        <d v="2024-12-05T00:00:00"/>
        <d v="2025-10-04T00:00:00"/>
        <d v="2025-06-12T00:00:00"/>
        <d v="2025-02-23T00:00:00"/>
        <d v="2025-08-09T00:00:00"/>
        <d v="2025-02-26T00:00:00"/>
        <d v="2025-02-13T00:00:00"/>
        <d v="2025-07-11T00:00:00"/>
        <d v="2025-01-27T00:00:00"/>
        <d v="2025-07-09T00:00:00"/>
        <d v="2025-05-01T00:00:00"/>
        <d v="2025-03-13T00:00:00"/>
        <d v="2025-06-29T00:00:00"/>
        <d v="2024-11-27T00:00:00"/>
        <d v="2025-07-01T00:00:00"/>
        <d v="2025-09-22T00:00:00"/>
        <d v="2025-07-16T00:00:00"/>
        <d v="2025-02-21T00:00:00"/>
        <d v="2024-11-28T00:00:00"/>
        <d v="2025-11-06T00:00:00"/>
        <d v="2025-04-05T00:00:00"/>
        <d v="2025-07-28T00:00:00"/>
        <d v="2024-12-15T00:00:00"/>
        <d v="2025-05-19T00:00:00"/>
        <d v="2024-11-08T00:00:00"/>
        <d v="2025-07-03T00:00:00"/>
        <d v="2025-08-07T00:00:00"/>
        <d v="2025-11-04T00:00:00"/>
        <d v="2025-08-12T00:00:00"/>
        <d v="2025-10-03T00:00:00"/>
        <d v="2024-12-06T00:00:00"/>
        <d v="2024-11-18T00:00:00"/>
        <d v="2025-09-20T00:00:00"/>
        <d v="2025-02-24T00:00:00"/>
        <d v="2025-07-22T00:00:00"/>
        <d v="2025-09-18T00:00:00"/>
        <d v="2025-09-03T00:00:00"/>
        <d v="2025-03-26T00:00:00"/>
        <d v="2024-12-29T00:00:00"/>
        <d v="2025-08-03T00:00:00"/>
        <d v="2025-03-10T00:00:00"/>
        <d v="2025-02-15T00:00:00"/>
        <d v="2025-08-14T00:00:00"/>
        <d v="2024-11-19T00:00:00"/>
        <d v="2025-07-18T00:00:00"/>
        <d v="2025-07-07T00:00:00"/>
        <d v="2025-06-06T00:00:00"/>
        <d v="2025-02-10T00:00:00"/>
        <d v="2025-06-19T00:00:00"/>
        <d v="2025-06-23T00:00:00"/>
        <d v="2025-07-27T00:00:00"/>
        <d v="2025-01-22T00:00:00"/>
      </sharedItems>
      <fieldGroup par="12"/>
    </cacheField>
    <cacheField name=" Product" numFmtId="0">
      <sharedItems count="20">
        <s v="Blender"/>
        <s v="Smartphone"/>
        <s v="Tennis Racket"/>
        <s v="Science"/>
        <s v="Biography"/>
        <s v="Basketball"/>
        <s v="Comics"/>
        <s v="Shoes"/>
        <s v="Fiction"/>
        <s v="Microwave"/>
        <s v="Yoga Mat"/>
        <s v="Vacuum"/>
        <s v="Lamp"/>
        <s v="T-shirt"/>
        <s v="Smartwatch"/>
        <s v="Headphones"/>
        <s v="Football"/>
        <s v="Laptop"/>
        <s v="Jacket"/>
        <s v="Jeans"/>
      </sharedItems>
    </cacheField>
    <cacheField name="Category" numFmtId="0">
      <sharedItems count="5">
        <s v="Home"/>
        <s v="Electronics"/>
        <s v="Sports"/>
        <s v="Books"/>
        <s v="Clothing"/>
      </sharedItems>
    </cacheField>
    <cacheField name="Quantity" numFmtId="2">
      <sharedItems containsSemiMixedTypes="0" containsString="0" containsNumber="1" minValue="1" maxValue="5"/>
    </cacheField>
    <cacheField name="Price" numFmtId="164">
      <sharedItems containsSemiMixedTypes="0" containsString="0" containsNumber="1" minValue="38" maxValue="10000"/>
    </cacheField>
    <cacheField name="Payment_Method" numFmtId="0">
      <sharedItems count="4">
        <s v="Cash on Delivery"/>
        <s v="PayPal"/>
        <s v="Bank Transfer"/>
        <s v="Credit Card"/>
      </sharedItems>
    </cacheField>
    <cacheField name="Status" numFmtId="0">
      <sharedItems count="5">
        <s v="Shipped"/>
        <s v="Processing"/>
        <s v="Delivered"/>
        <s v="Cancelled"/>
        <s v="Returned"/>
      </sharedItems>
    </cacheField>
    <cacheField name="Total" numFmtId="164">
      <sharedItems containsSemiMixedTypes="0" containsString="0" containsNumber="1" minValue="40.950000000000003" maxValue="20000" count="96">
        <n v="114"/>
        <n v="1243.0595604395603"/>
        <n v="389.05"/>
        <n v="1169.5999999999999"/>
        <n v="552.51"/>
        <n v="366.18"/>
        <n v="3008.7667021276593"/>
        <n v="2938.3999999999996"/>
        <n v="600.29"/>
        <n v="841.7"/>
        <n v="3107.6489010989008"/>
        <n v="1731.54"/>
        <n v="3008.52"/>
        <n v="411.81"/>
        <n v="826.26"/>
        <n v="1593.68"/>
        <n v="2486.1191208791206"/>
        <n v="20000"/>
        <n v="1239.0999999999999"/>
        <n v="1752.76"/>
        <n v="1500"/>
        <n v="2092.04"/>
        <n v="1113.8599999999999"/>
        <n v="1847.73"/>
        <n v="3062.76"/>
        <n v="3347.2"/>
        <n v="1680.1"/>
        <n v="2696.07"/>
        <n v="2946.84"/>
        <n v="3083.15"/>
        <n v="266.7"/>
        <n v="1716.2"/>
        <n v="2957.6499999999996"/>
        <n v="1784.76"/>
        <n v="696.71"/>
        <n v="1864.5893406593405"/>
        <n v="531.05999999999995"/>
        <n v="1362.76"/>
        <n v="2355.92"/>
        <n v="1638.12"/>
        <n v="3226.3"/>
        <n v="4133.8500000000004"/>
        <n v="4245.3500000000004"/>
        <n v="1721.98"/>
        <n v="1410.84"/>
        <n v="2384.6"/>
        <n v="660.98"/>
        <n v="4481.8999999999996"/>
        <n v="206.19"/>
        <n v="914.32"/>
        <n v="699.33"/>
        <n v="1115.5999999999999"/>
        <n v="3948.2"/>
        <n v="40.950000000000003"/>
        <n v="1100.4000000000001"/>
        <n v="933.58"/>
        <n v="489.48"/>
        <n v="1212.6000000000001"/>
        <n v="837.28"/>
        <n v="311.52"/>
        <n v="705.78"/>
        <n v="1806.6804255319148"/>
        <n v="886.26"/>
        <n v="1138.76"/>
        <n v="1826.0188297872337"/>
        <n v="282.98"/>
        <n v="582.13"/>
        <n v="3708.15"/>
        <n v="2066.04"/>
        <n v="1885.52"/>
        <n v="1759.4499999999998"/>
        <n v="749.92"/>
        <n v="111.36"/>
        <n v="2652.6"/>
        <n v="69.48"/>
        <n v="1416.42"/>
        <n v="2606.0099999999998"/>
        <n v="836.76"/>
        <n v="266.48"/>
        <n v="2153.4"/>
        <n v="404.76"/>
        <n v="1461.84"/>
        <n v="365.34"/>
        <n v="2648.88"/>
        <n v="2520.25"/>
        <n v="814.68"/>
        <n v="920.37"/>
        <n v="1762.04"/>
        <n v="626.05393617021275"/>
        <n v="1604.9338297872339"/>
        <n v="4722.7"/>
        <n v="4087.3"/>
        <n v="1910.8734732288985"/>
        <n v="160.16"/>
        <n v="994.02"/>
        <n v="1861.3999999999999"/>
      </sharedItems>
    </cacheField>
    <cacheField name="Months (Order_Date)" numFmtId="0" databaseField="0">
      <fieldGroup base="3">
        <rangePr autoStart="0" autoEnd="0" groupBy="months" startDate="2025-01-03T00:00:00" endDate="2025-11-06T00:00:00"/>
        <groupItems count="14">
          <s v="&lt;03-01-2025"/>
          <s v="Jan"/>
          <s v="Feb"/>
          <s v="Mar"/>
          <s v="Apr"/>
          <s v="May"/>
          <s v="Jun"/>
          <s v="Jul"/>
          <s v="Aug"/>
          <s v="Sep"/>
          <s v="Oct"/>
          <s v="Nov"/>
          <s v="Dec"/>
          <s v="&gt;06-11-2025"/>
        </groupItems>
      </fieldGroup>
    </cacheField>
    <cacheField name="Years (Order_Date)" numFmtId="0" databaseField="0">
      <fieldGroup base="3">
        <rangePr autoStart="0" autoEnd="0" groupBy="years" startDate="2025-01-03T00:00:00" endDate="2025-11-06T00:00:00"/>
        <groupItems count="3">
          <s v="&lt;03-01-2025"/>
          <s v="2025"/>
          <s v="&gt;06-11-2025"/>
        </groupItems>
      </fieldGroup>
    </cacheField>
  </cacheFields>
  <extLst>
    <ext xmlns:x14="http://schemas.microsoft.com/office/spreadsheetml/2009/9/main" uri="{725AE2AE-9491-48be-B2B4-4EB974FC3084}">
      <x14:pivotCacheDefinition pivotCacheId="1404669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
    <s v="Customer_100"/>
    <s v="ORD-41285"/>
    <x v="0"/>
    <x v="0"/>
    <x v="0"/>
    <n v="3"/>
    <n v="38"/>
    <x v="0"/>
    <x v="0"/>
    <x v="0"/>
  </r>
  <r>
    <n v="101"/>
    <s v="Customer_101"/>
    <s v="ORD-35783"/>
    <x v="1"/>
    <x v="1"/>
    <x v="1"/>
    <n v="2"/>
    <n v="621.52978021978015"/>
    <x v="1"/>
    <x v="1"/>
    <x v="1"/>
  </r>
  <r>
    <n v="102"/>
    <s v="Customer_102"/>
    <s v="ORD-84355"/>
    <x v="2"/>
    <x v="2"/>
    <x v="2"/>
    <n v="1"/>
    <n v="389.05"/>
    <x v="1"/>
    <x v="2"/>
    <x v="2"/>
  </r>
  <r>
    <n v="103"/>
    <s v="Customer_103"/>
    <s v="ORD-57811"/>
    <x v="3"/>
    <x v="3"/>
    <x v="3"/>
    <n v="5"/>
    <n v="233.92"/>
    <x v="1"/>
    <x v="1"/>
    <x v="3"/>
  </r>
  <r>
    <n v="104"/>
    <s v="Customer_104"/>
    <s v="ORD-93614"/>
    <x v="4"/>
    <x v="4"/>
    <x v="3"/>
    <n v="1"/>
    <n v="552.51"/>
    <x v="0"/>
    <x v="1"/>
    <x v="4"/>
  </r>
  <r>
    <n v="105"/>
    <s v="Customer_105"/>
    <s v="ORD-22442"/>
    <x v="5"/>
    <x v="2"/>
    <x v="2"/>
    <n v="3"/>
    <n v="122.06"/>
    <x v="0"/>
    <x v="3"/>
    <x v="5"/>
  </r>
  <r>
    <n v="106"/>
    <s v="Customer_106"/>
    <s v="ORD-25885"/>
    <x v="6"/>
    <x v="0"/>
    <x v="0"/>
    <n v="3.0744680851063828"/>
    <n v="978.63"/>
    <x v="2"/>
    <x v="1"/>
    <x v="6"/>
  </r>
  <r>
    <n v="107"/>
    <s v="Customer_107"/>
    <s v="ORD-89122"/>
    <x v="7"/>
    <x v="4"/>
    <x v="3"/>
    <n v="5"/>
    <n v="587.67999999999995"/>
    <x v="1"/>
    <x v="4"/>
    <x v="7"/>
  </r>
  <r>
    <n v="108"/>
    <s v="Customer_108"/>
    <s v="ORD-64400"/>
    <x v="8"/>
    <x v="3"/>
    <x v="3"/>
    <n v="1"/>
    <n v="600.29"/>
    <x v="0"/>
    <x v="1"/>
    <x v="8"/>
  </r>
  <r>
    <n v="109"/>
    <s v="Customer_109"/>
    <s v="ORD-18512"/>
    <x v="9"/>
    <x v="2"/>
    <x v="2"/>
    <n v="5"/>
    <n v="168.34"/>
    <x v="3"/>
    <x v="0"/>
    <x v="9"/>
  </r>
  <r>
    <n v="110"/>
    <s v="Customer_110"/>
    <s v="ORD-61020"/>
    <x v="10"/>
    <x v="5"/>
    <x v="2"/>
    <n v="5"/>
    <n v="621.52978021978015"/>
    <x v="0"/>
    <x v="3"/>
    <x v="10"/>
  </r>
  <r>
    <n v="111"/>
    <s v="Customer_111"/>
    <s v="ORD-72349"/>
    <x v="11"/>
    <x v="6"/>
    <x v="3"/>
    <n v="2"/>
    <n v="865.77"/>
    <x v="3"/>
    <x v="4"/>
    <x v="11"/>
  </r>
  <r>
    <n v="112"/>
    <s v="Customer_112"/>
    <s v="ORD-80867"/>
    <x v="12"/>
    <x v="7"/>
    <x v="4"/>
    <n v="4"/>
    <n v="752.13"/>
    <x v="2"/>
    <x v="2"/>
    <x v="12"/>
  </r>
  <r>
    <n v="113"/>
    <s v="Customer_113"/>
    <s v="ORD-23994"/>
    <x v="13"/>
    <x v="8"/>
    <x v="3"/>
    <n v="1"/>
    <n v="411.81"/>
    <x v="3"/>
    <x v="1"/>
    <x v="13"/>
  </r>
  <r>
    <n v="114"/>
    <s v="Customer_114"/>
    <s v="ORD-77417"/>
    <x v="14"/>
    <x v="1"/>
    <x v="1"/>
    <n v="2"/>
    <n v="413.13"/>
    <x v="0"/>
    <x v="0"/>
    <x v="14"/>
  </r>
  <r>
    <n v="115"/>
    <s v="Customer_115"/>
    <s v="ORD-72778"/>
    <x v="15"/>
    <x v="8"/>
    <x v="3"/>
    <n v="2"/>
    <n v="796.84"/>
    <x v="0"/>
    <x v="4"/>
    <x v="15"/>
  </r>
  <r>
    <n v="116"/>
    <s v="Customer_116"/>
    <s v="ORD-63660"/>
    <x v="16"/>
    <x v="9"/>
    <x v="0"/>
    <n v="4"/>
    <n v="621.52978021978015"/>
    <x v="0"/>
    <x v="1"/>
    <x v="16"/>
  </r>
  <r>
    <n v="117"/>
    <s v="Customer_117"/>
    <s v="ORD-72751"/>
    <x v="17"/>
    <x v="0"/>
    <x v="1"/>
    <n v="2"/>
    <n v="10000"/>
    <x v="0"/>
    <x v="1"/>
    <x v="17"/>
  </r>
  <r>
    <n v="118"/>
    <s v="Customer_118"/>
    <s v="ORD-96061"/>
    <x v="18"/>
    <x v="3"/>
    <x v="3"/>
    <n v="5"/>
    <n v="247.82"/>
    <x v="1"/>
    <x v="1"/>
    <x v="18"/>
  </r>
  <r>
    <n v="119"/>
    <s v="Customer_119"/>
    <s v="ORD-76016"/>
    <x v="19"/>
    <x v="5"/>
    <x v="2"/>
    <n v="4"/>
    <n v="438.19"/>
    <x v="0"/>
    <x v="1"/>
    <x v="19"/>
  </r>
  <r>
    <n v="120"/>
    <s v="Customer_120"/>
    <s v="ORD-14659"/>
    <x v="20"/>
    <x v="10"/>
    <x v="1"/>
    <n v="5"/>
    <n v="300"/>
    <x v="3"/>
    <x v="3"/>
    <x v="20"/>
  </r>
  <r>
    <n v="121"/>
    <s v="Customer_121"/>
    <s v="ORD-80067"/>
    <x v="21"/>
    <x v="5"/>
    <x v="2"/>
    <n v="4"/>
    <n v="523.01"/>
    <x v="3"/>
    <x v="2"/>
    <x v="21"/>
  </r>
  <r>
    <n v="122"/>
    <s v="Customer_122"/>
    <s v="ORD-21443"/>
    <x v="22"/>
    <x v="9"/>
    <x v="0"/>
    <n v="2"/>
    <n v="556.92999999999995"/>
    <x v="1"/>
    <x v="0"/>
    <x v="22"/>
  </r>
  <r>
    <n v="123"/>
    <s v="Customer_123"/>
    <s v="ORD-11314"/>
    <x v="23"/>
    <x v="11"/>
    <x v="1"/>
    <n v="3"/>
    <n v="615.91"/>
    <x v="0"/>
    <x v="3"/>
    <x v="23"/>
  </r>
  <r>
    <n v="124"/>
    <s v="Customer_124"/>
    <s v="ORD-46136"/>
    <x v="18"/>
    <x v="6"/>
    <x v="3"/>
    <n v="5"/>
    <n v="621.52978021978015"/>
    <x v="1"/>
    <x v="3"/>
    <x v="10"/>
  </r>
  <r>
    <n v="125"/>
    <s v="Customer_125"/>
    <s v="ORD-23202"/>
    <x v="24"/>
    <x v="6"/>
    <x v="3"/>
    <n v="4"/>
    <n v="765.69"/>
    <x v="1"/>
    <x v="0"/>
    <x v="24"/>
  </r>
  <r>
    <n v="126"/>
    <s v="Customer_126"/>
    <s v="ORD-11261"/>
    <x v="25"/>
    <x v="7"/>
    <x v="4"/>
    <n v="4"/>
    <n v="836.8"/>
    <x v="2"/>
    <x v="3"/>
    <x v="25"/>
  </r>
  <r>
    <n v="127"/>
    <s v="Customer_127"/>
    <s v="ORD-65482"/>
    <x v="26"/>
    <x v="0"/>
    <x v="0"/>
    <n v="5"/>
    <n v="336.02"/>
    <x v="2"/>
    <x v="4"/>
    <x v="26"/>
  </r>
  <r>
    <n v="128"/>
    <s v="Customer_128"/>
    <s v="ORD-12270"/>
    <x v="27"/>
    <x v="12"/>
    <x v="1"/>
    <n v="3"/>
    <n v="898.69"/>
    <x v="2"/>
    <x v="2"/>
    <x v="27"/>
  </r>
  <r>
    <n v="129"/>
    <s v="Customer_129"/>
    <s v="ORD-48863"/>
    <x v="28"/>
    <x v="3"/>
    <x v="3"/>
    <n v="4"/>
    <n v="736.71"/>
    <x v="2"/>
    <x v="4"/>
    <x v="28"/>
  </r>
  <r>
    <n v="130"/>
    <s v="Customer_130"/>
    <s v="ORD-34007"/>
    <x v="29"/>
    <x v="2"/>
    <x v="2"/>
    <n v="2"/>
    <n v="621.52978021978015"/>
    <x v="2"/>
    <x v="1"/>
    <x v="1"/>
  </r>
  <r>
    <n v="131"/>
    <s v="Customer_131"/>
    <s v="ORD-91396"/>
    <x v="30"/>
    <x v="12"/>
    <x v="0"/>
    <n v="5"/>
    <n v="616.63"/>
    <x v="1"/>
    <x v="0"/>
    <x v="29"/>
  </r>
  <r>
    <n v="132"/>
    <s v="Customer_132"/>
    <s v="ORD-40186"/>
    <x v="31"/>
    <x v="10"/>
    <x v="1"/>
    <n v="1"/>
    <n v="266.7"/>
    <x v="1"/>
    <x v="2"/>
    <x v="30"/>
  </r>
  <r>
    <n v="133"/>
    <s v="Customer_133"/>
    <s v="ORD-68182"/>
    <x v="32"/>
    <x v="4"/>
    <x v="3"/>
    <n v="5"/>
    <n v="343.24"/>
    <x v="3"/>
    <x v="0"/>
    <x v="31"/>
  </r>
  <r>
    <n v="134"/>
    <s v="Customer_134"/>
    <s v="ORD-16585"/>
    <x v="33"/>
    <x v="13"/>
    <x v="4"/>
    <n v="5"/>
    <n v="591.53"/>
    <x v="1"/>
    <x v="0"/>
    <x v="32"/>
  </r>
  <r>
    <n v="135"/>
    <s v="Customer_135"/>
    <s v="ORD-33656"/>
    <x v="24"/>
    <x v="14"/>
    <x v="1"/>
    <n v="4"/>
    <n v="446.19"/>
    <x v="0"/>
    <x v="3"/>
    <x v="33"/>
  </r>
  <r>
    <n v="136"/>
    <s v="Customer_136"/>
    <s v="ORD-20985"/>
    <x v="34"/>
    <x v="15"/>
    <x v="1"/>
    <n v="1"/>
    <n v="696.71"/>
    <x v="3"/>
    <x v="2"/>
    <x v="34"/>
  </r>
  <r>
    <n v="137"/>
    <s v="Customer_137"/>
    <s v="ORD-91254"/>
    <x v="35"/>
    <x v="11"/>
    <x v="0"/>
    <n v="3"/>
    <n v="621.52978021978015"/>
    <x v="0"/>
    <x v="2"/>
    <x v="35"/>
  </r>
  <r>
    <n v="138"/>
    <s v="Customer_138"/>
    <s v="ORD-34319"/>
    <x v="36"/>
    <x v="12"/>
    <x v="0"/>
    <n v="1"/>
    <n v="531.05999999999995"/>
    <x v="1"/>
    <x v="1"/>
    <x v="36"/>
  </r>
  <r>
    <n v="139"/>
    <s v="Customer_139"/>
    <s v="ORD-38418"/>
    <x v="24"/>
    <x v="1"/>
    <x v="1"/>
    <n v="2"/>
    <n v="681.38"/>
    <x v="3"/>
    <x v="3"/>
    <x v="37"/>
  </r>
  <r>
    <n v="140"/>
    <s v="Customer_140"/>
    <s v="ORD-67096"/>
    <x v="37"/>
    <x v="8"/>
    <x v="3"/>
    <n v="4"/>
    <n v="588.98"/>
    <x v="3"/>
    <x v="4"/>
    <x v="38"/>
  </r>
  <r>
    <n v="141"/>
    <s v="Customer_141"/>
    <s v="ORD-45059"/>
    <x v="38"/>
    <x v="8"/>
    <x v="3"/>
    <n v="3"/>
    <n v="546.04"/>
    <x v="0"/>
    <x v="4"/>
    <x v="39"/>
  </r>
  <r>
    <n v="142"/>
    <s v="Customer_142"/>
    <s v="ORD-69018"/>
    <x v="16"/>
    <x v="7"/>
    <x v="4"/>
    <n v="5"/>
    <n v="645.26"/>
    <x v="3"/>
    <x v="0"/>
    <x v="40"/>
  </r>
  <r>
    <n v="143"/>
    <s v="Customer_143"/>
    <s v="ORD-14329"/>
    <x v="39"/>
    <x v="13"/>
    <x v="4"/>
    <n v="5"/>
    <n v="826.77"/>
    <x v="2"/>
    <x v="3"/>
    <x v="41"/>
  </r>
  <r>
    <n v="144"/>
    <s v="Customer_144"/>
    <s v="ORD-89452"/>
    <x v="40"/>
    <x v="16"/>
    <x v="2"/>
    <n v="5"/>
    <n v="849.07"/>
    <x v="2"/>
    <x v="1"/>
    <x v="42"/>
  </r>
  <r>
    <n v="145"/>
    <s v="Customer_145"/>
    <s v="ORD-75314"/>
    <x v="14"/>
    <x v="17"/>
    <x v="1"/>
    <n v="2"/>
    <n v="860.99"/>
    <x v="2"/>
    <x v="4"/>
    <x v="43"/>
  </r>
  <r>
    <n v="146"/>
    <s v="Customer_146"/>
    <s v="ORD-32755"/>
    <x v="41"/>
    <x v="5"/>
    <x v="1"/>
    <n v="2"/>
    <n v="705.42"/>
    <x v="2"/>
    <x v="1"/>
    <x v="44"/>
  </r>
  <r>
    <n v="147"/>
    <s v="Customer_147"/>
    <s v="ORD-80707"/>
    <x v="42"/>
    <x v="18"/>
    <x v="4"/>
    <n v="4"/>
    <n v="596.15"/>
    <x v="0"/>
    <x v="0"/>
    <x v="45"/>
  </r>
  <r>
    <n v="148"/>
    <s v="Customer_148"/>
    <s v="ORD-38423"/>
    <x v="43"/>
    <x v="2"/>
    <x v="2"/>
    <n v="1"/>
    <n v="660.98"/>
    <x v="0"/>
    <x v="4"/>
    <x v="46"/>
  </r>
  <r>
    <n v="149"/>
    <s v="Customer_149"/>
    <s v="ORD-95911"/>
    <x v="44"/>
    <x v="6"/>
    <x v="3"/>
    <n v="5"/>
    <n v="896.38"/>
    <x v="2"/>
    <x v="3"/>
    <x v="47"/>
  </r>
  <r>
    <n v="150"/>
    <s v="Customer_150"/>
    <s v="ORD-76902"/>
    <x v="45"/>
    <x v="10"/>
    <x v="2"/>
    <n v="1"/>
    <n v="206.19"/>
    <x v="3"/>
    <x v="4"/>
    <x v="48"/>
  </r>
  <r>
    <n v="151"/>
    <s v="Customer_151"/>
    <s v="ORD-56552"/>
    <x v="46"/>
    <x v="6"/>
    <x v="3"/>
    <n v="2"/>
    <n v="457.16"/>
    <x v="1"/>
    <x v="1"/>
    <x v="49"/>
  </r>
  <r>
    <n v="152"/>
    <s v="Customer_152"/>
    <s v="ORD-72869"/>
    <x v="47"/>
    <x v="12"/>
    <x v="0"/>
    <n v="3"/>
    <n v="233.11"/>
    <x v="1"/>
    <x v="4"/>
    <x v="50"/>
  </r>
  <r>
    <n v="153"/>
    <s v="Customer_153"/>
    <s v="ORD-29721"/>
    <x v="48"/>
    <x v="10"/>
    <x v="2"/>
    <n v="4"/>
    <n v="278.89999999999998"/>
    <x v="0"/>
    <x v="1"/>
    <x v="51"/>
  </r>
  <r>
    <n v="154"/>
    <s v="Customer_154"/>
    <s v="ORD-95990"/>
    <x v="49"/>
    <x v="0"/>
    <x v="0"/>
    <n v="5"/>
    <n v="789.64"/>
    <x v="0"/>
    <x v="3"/>
    <x v="52"/>
  </r>
  <r>
    <n v="155"/>
    <s v="Customer_155"/>
    <s v="ORD-20182"/>
    <x v="42"/>
    <x v="7"/>
    <x v="4"/>
    <n v="1"/>
    <n v="40.950000000000003"/>
    <x v="1"/>
    <x v="4"/>
    <x v="53"/>
  </r>
  <r>
    <n v="156"/>
    <s v="Customer_156"/>
    <s v="ORD-34679"/>
    <x v="50"/>
    <x v="19"/>
    <x v="4"/>
    <n v="2"/>
    <n v="621.52978021978015"/>
    <x v="2"/>
    <x v="0"/>
    <x v="1"/>
  </r>
  <r>
    <n v="157"/>
    <s v="Customer_157"/>
    <s v="ORD-34407"/>
    <x v="51"/>
    <x v="18"/>
    <x v="4"/>
    <n v="4"/>
    <n v="275.10000000000002"/>
    <x v="2"/>
    <x v="1"/>
    <x v="54"/>
  </r>
  <r>
    <n v="158"/>
    <s v="Customer_158"/>
    <s v="ORD-35817"/>
    <x v="52"/>
    <x v="14"/>
    <x v="1"/>
    <n v="1"/>
    <n v="933.58"/>
    <x v="0"/>
    <x v="0"/>
    <x v="55"/>
  </r>
  <r>
    <n v="159"/>
    <s v="Customer_159"/>
    <s v="ORD-98162"/>
    <x v="53"/>
    <x v="9"/>
    <x v="0"/>
    <n v="3"/>
    <n v="163.16"/>
    <x v="1"/>
    <x v="0"/>
    <x v="56"/>
  </r>
  <r>
    <n v="160"/>
    <s v="Customer_160"/>
    <s v="ORD-96037"/>
    <x v="7"/>
    <x v="3"/>
    <x v="3"/>
    <n v="5"/>
    <n v="242.52"/>
    <x v="0"/>
    <x v="4"/>
    <x v="57"/>
  </r>
  <r>
    <n v="161"/>
    <s v="Customer_161"/>
    <s v="ORD-27653"/>
    <x v="54"/>
    <x v="3"/>
    <x v="3"/>
    <n v="4"/>
    <n v="209.32"/>
    <x v="2"/>
    <x v="0"/>
    <x v="58"/>
  </r>
  <r>
    <n v="162"/>
    <s v="Customer_162"/>
    <s v="ORD-27743"/>
    <x v="55"/>
    <x v="0"/>
    <x v="0"/>
    <n v="2"/>
    <n v="155.76"/>
    <x v="3"/>
    <x v="4"/>
    <x v="59"/>
  </r>
  <r>
    <n v="163"/>
    <s v="Customer_163"/>
    <s v="ORD-24378"/>
    <x v="14"/>
    <x v="14"/>
    <x v="1"/>
    <n v="3"/>
    <n v="235.26"/>
    <x v="0"/>
    <x v="0"/>
    <x v="60"/>
  </r>
  <r>
    <n v="164"/>
    <s v="Customer_164"/>
    <s v="ORD-23010"/>
    <x v="24"/>
    <x v="2"/>
    <x v="2"/>
    <n v="3.0744680851063828"/>
    <n v="587.64"/>
    <x v="3"/>
    <x v="4"/>
    <x v="61"/>
  </r>
  <r>
    <n v="165"/>
    <s v="Customer_165"/>
    <s v="ORD-55695"/>
    <x v="56"/>
    <x v="7"/>
    <x v="4"/>
    <n v="2"/>
    <n v="443.13"/>
    <x v="3"/>
    <x v="2"/>
    <x v="62"/>
  </r>
  <r>
    <n v="166"/>
    <s v="Customer_166"/>
    <s v="ORD-97756"/>
    <x v="57"/>
    <x v="13"/>
    <x v="1"/>
    <n v="2"/>
    <n v="569.38"/>
    <x v="0"/>
    <x v="0"/>
    <x v="63"/>
  </r>
  <r>
    <n v="167"/>
    <s v="Customer_167"/>
    <s v="ORD-30329"/>
    <x v="58"/>
    <x v="5"/>
    <x v="2"/>
    <n v="3.0744680851063828"/>
    <n v="593.92999999999995"/>
    <x v="0"/>
    <x v="1"/>
    <x v="64"/>
  </r>
  <r>
    <n v="168"/>
    <s v="Customer_168"/>
    <s v="ORD-53430"/>
    <x v="59"/>
    <x v="4"/>
    <x v="3"/>
    <n v="2"/>
    <n v="141.49"/>
    <x v="1"/>
    <x v="3"/>
    <x v="65"/>
  </r>
  <r>
    <n v="169"/>
    <s v="Customer_169"/>
    <s v="ORD-75539"/>
    <x v="60"/>
    <x v="5"/>
    <x v="2"/>
    <n v="1"/>
    <n v="582.13"/>
    <x v="3"/>
    <x v="4"/>
    <x v="66"/>
  </r>
  <r>
    <n v="170"/>
    <s v="Customer_170"/>
    <s v="ORD-21530"/>
    <x v="61"/>
    <x v="19"/>
    <x v="4"/>
    <n v="5"/>
    <n v="741.63"/>
    <x v="2"/>
    <x v="1"/>
    <x v="67"/>
  </r>
  <r>
    <n v="171"/>
    <s v="Customer_171"/>
    <s v="ORD-99790"/>
    <x v="62"/>
    <x v="7"/>
    <x v="4"/>
    <n v="3"/>
    <n v="688.68"/>
    <x v="1"/>
    <x v="1"/>
    <x v="68"/>
  </r>
  <r>
    <n v="172"/>
    <s v="Customer_172"/>
    <s v="ORD-48008"/>
    <x v="63"/>
    <x v="6"/>
    <x v="3"/>
    <n v="2"/>
    <n v="942.76"/>
    <x v="2"/>
    <x v="4"/>
    <x v="69"/>
  </r>
  <r>
    <n v="173"/>
    <s v="Customer_173"/>
    <s v="ORD-42171"/>
    <x v="21"/>
    <x v="12"/>
    <x v="0"/>
    <n v="5"/>
    <n v="351.89"/>
    <x v="3"/>
    <x v="0"/>
    <x v="70"/>
  </r>
  <r>
    <n v="174"/>
    <s v="Customer_174"/>
    <s v="ORD-16766"/>
    <x v="64"/>
    <x v="9"/>
    <x v="1"/>
    <n v="4"/>
    <n v="187.48"/>
    <x v="3"/>
    <x v="4"/>
    <x v="71"/>
  </r>
  <r>
    <n v="175"/>
    <s v="Customer_175"/>
    <s v="ORD-56651"/>
    <x v="65"/>
    <x v="15"/>
    <x v="1"/>
    <n v="1"/>
    <n v="111.36"/>
    <x v="3"/>
    <x v="1"/>
    <x v="72"/>
  </r>
  <r>
    <n v="176"/>
    <s v="Customer_176"/>
    <s v="ORD-95794"/>
    <x v="66"/>
    <x v="6"/>
    <x v="3"/>
    <n v="5"/>
    <n v="530.52"/>
    <x v="0"/>
    <x v="0"/>
    <x v="73"/>
  </r>
  <r>
    <n v="177"/>
    <s v="Customer_177"/>
    <s v="ORD-64136"/>
    <x v="53"/>
    <x v="17"/>
    <x v="1"/>
    <n v="1"/>
    <n v="69.48"/>
    <x v="2"/>
    <x v="4"/>
    <x v="74"/>
  </r>
  <r>
    <n v="178"/>
    <s v="Customer_178"/>
    <s v="ORD-89906"/>
    <x v="67"/>
    <x v="2"/>
    <x v="2"/>
    <n v="3"/>
    <n v="472.14"/>
    <x v="1"/>
    <x v="4"/>
    <x v="75"/>
  </r>
  <r>
    <n v="179"/>
    <s v="Customer_179"/>
    <s v="ORD-99328"/>
    <x v="68"/>
    <x v="10"/>
    <x v="2"/>
    <n v="3"/>
    <n v="868.67"/>
    <x v="1"/>
    <x v="2"/>
    <x v="76"/>
  </r>
  <r>
    <n v="180"/>
    <s v="Customer_180"/>
    <s v="ORD-86629"/>
    <x v="69"/>
    <x v="17"/>
    <x v="1"/>
    <n v="2"/>
    <n v="418.38"/>
    <x v="3"/>
    <x v="1"/>
    <x v="77"/>
  </r>
  <r>
    <n v="181"/>
    <s v="Customer_181"/>
    <s v="ORD-54481"/>
    <x v="70"/>
    <x v="1"/>
    <x v="1"/>
    <n v="1"/>
    <n v="266.48"/>
    <x v="0"/>
    <x v="3"/>
    <x v="78"/>
  </r>
  <r>
    <n v="182"/>
    <s v="Customer_182"/>
    <s v="ORD-79672"/>
    <x v="71"/>
    <x v="7"/>
    <x v="4"/>
    <n v="4"/>
    <n v="538.35"/>
    <x v="1"/>
    <x v="1"/>
    <x v="79"/>
  </r>
  <r>
    <n v="183"/>
    <s v="Customer_183"/>
    <s v="ORD-20916"/>
    <x v="72"/>
    <x v="7"/>
    <x v="4"/>
    <n v="5"/>
    <n v="621.52978021978015"/>
    <x v="0"/>
    <x v="4"/>
    <x v="10"/>
  </r>
  <r>
    <n v="184"/>
    <s v="Customer_184"/>
    <s v="ORD-67799"/>
    <x v="73"/>
    <x v="19"/>
    <x v="4"/>
    <n v="4"/>
    <n v="101.19"/>
    <x v="2"/>
    <x v="1"/>
    <x v="80"/>
  </r>
  <r>
    <n v="185"/>
    <s v="Customer_185"/>
    <s v="ORD-57123"/>
    <x v="74"/>
    <x v="16"/>
    <x v="2"/>
    <n v="2"/>
    <n v="730.92"/>
    <x v="0"/>
    <x v="3"/>
    <x v="81"/>
  </r>
  <r>
    <n v="186"/>
    <s v="Customer_186"/>
    <s v="ORD-90569"/>
    <x v="23"/>
    <x v="17"/>
    <x v="1"/>
    <n v="1"/>
    <n v="365.34"/>
    <x v="2"/>
    <x v="2"/>
    <x v="82"/>
  </r>
  <r>
    <n v="187"/>
    <s v="Customer_187"/>
    <s v="ORD-41292"/>
    <x v="75"/>
    <x v="1"/>
    <x v="1"/>
    <n v="3"/>
    <n v="882.96"/>
    <x v="2"/>
    <x v="4"/>
    <x v="83"/>
  </r>
  <r>
    <n v="188"/>
    <s v="Customer_188"/>
    <s v="ORD-58590"/>
    <x v="75"/>
    <x v="9"/>
    <x v="0"/>
    <n v="5"/>
    <n v="504.05"/>
    <x v="0"/>
    <x v="0"/>
    <x v="84"/>
  </r>
  <r>
    <n v="189"/>
    <s v="Customer_189"/>
    <s v="ORD-30627"/>
    <x v="74"/>
    <x v="12"/>
    <x v="0"/>
    <n v="1"/>
    <n v="814.68"/>
    <x v="0"/>
    <x v="4"/>
    <x v="85"/>
  </r>
  <r>
    <n v="190"/>
    <s v="Customer_190"/>
    <s v="ORD-38469"/>
    <x v="44"/>
    <x v="11"/>
    <x v="0"/>
    <n v="1"/>
    <n v="920.37"/>
    <x v="2"/>
    <x v="1"/>
    <x v="86"/>
  </r>
  <r>
    <n v="191"/>
    <s v="Customer_191"/>
    <s v="ORD-41810"/>
    <x v="76"/>
    <x v="8"/>
    <x v="3"/>
    <n v="2"/>
    <n v="881.02"/>
    <x v="0"/>
    <x v="4"/>
    <x v="87"/>
  </r>
  <r>
    <n v="192"/>
    <s v="Customer_192"/>
    <s v="ORD-35144"/>
    <x v="77"/>
    <x v="18"/>
    <x v="4"/>
    <n v="3.0744680851063828"/>
    <n v="203.63"/>
    <x v="3"/>
    <x v="4"/>
    <x v="88"/>
  </r>
  <r>
    <n v="193"/>
    <s v="Customer_193"/>
    <s v="ORD-42475"/>
    <x v="78"/>
    <x v="5"/>
    <x v="2"/>
    <n v="3.0744680851063828"/>
    <n v="522.02"/>
    <x v="1"/>
    <x v="0"/>
    <x v="89"/>
  </r>
  <r>
    <n v="194"/>
    <s v="Customer_194"/>
    <s v="ORD-69764"/>
    <x v="79"/>
    <x v="12"/>
    <x v="0"/>
    <n v="5"/>
    <n v="944.54"/>
    <x v="0"/>
    <x v="4"/>
    <x v="90"/>
  </r>
  <r>
    <n v="195"/>
    <s v="Customer_195"/>
    <s v="ORD-82876"/>
    <x v="80"/>
    <x v="4"/>
    <x v="3"/>
    <n v="5"/>
    <n v="817.46"/>
    <x v="0"/>
    <x v="4"/>
    <x v="91"/>
  </r>
  <r>
    <n v="196"/>
    <s v="Customer_196"/>
    <s v="ORD-78384"/>
    <x v="2"/>
    <x v="11"/>
    <x v="0"/>
    <n v="3.0744680851063828"/>
    <n v="621.52978021978015"/>
    <x v="1"/>
    <x v="2"/>
    <x v="92"/>
  </r>
  <r>
    <n v="197"/>
    <s v="Customer_197"/>
    <s v="ORD-79139"/>
    <x v="81"/>
    <x v="0"/>
    <x v="0"/>
    <n v="1"/>
    <n v="160.16"/>
    <x v="1"/>
    <x v="3"/>
    <x v="93"/>
  </r>
  <r>
    <n v="198"/>
    <s v="Customer_198"/>
    <s v="ORD-14608"/>
    <x v="82"/>
    <x v="11"/>
    <x v="1"/>
    <n v="2"/>
    <n v="497.01"/>
    <x v="0"/>
    <x v="0"/>
    <x v="94"/>
  </r>
  <r>
    <n v="199"/>
    <s v="Customer_199"/>
    <s v="ORD-82922"/>
    <x v="83"/>
    <x v="0"/>
    <x v="0"/>
    <n v="5"/>
    <n v="372.28"/>
    <x v="3"/>
    <x v="0"/>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1CCC7A-2705-4DAD-B00B-17D70381A58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location ref="J20:K41" firstHeaderRow="1" firstDataRow="1" firstDataCol="1" rowPageCount="1" colPageCount="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axis="axisRow" showAll="0" sortType="ascending">
      <items count="21">
        <item x="5"/>
        <item x="4"/>
        <item x="0"/>
        <item x="6"/>
        <item x="8"/>
        <item x="16"/>
        <item x="15"/>
        <item x="18"/>
        <item x="19"/>
        <item x="12"/>
        <item x="17"/>
        <item x="9"/>
        <item x="3"/>
        <item x="7"/>
        <item x="1"/>
        <item x="14"/>
        <item x="2"/>
        <item x="13"/>
        <item x="11"/>
        <item x="10"/>
        <item t="default"/>
      </items>
    </pivotField>
    <pivotField axis="axisPage"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1">
    <pageField fld="5" hier="-1"/>
  </pageFields>
  <dataFields count="1">
    <dataField name="Revenue" fld="10" baseField="4" baseItem="7"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850AAA-0DDD-4F85-BA72-FECB8F11E2A5}"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D3:E9" firstHeaderRow="1" firstDataRow="1" firstDataCol="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axis="axisRow"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5"/>
  </rowFields>
  <rowItems count="6">
    <i>
      <x/>
    </i>
    <i>
      <x v="1"/>
    </i>
    <i>
      <x v="2"/>
    </i>
    <i>
      <x v="3"/>
    </i>
    <i>
      <x v="4"/>
    </i>
    <i t="grand">
      <x/>
    </i>
  </rowItems>
  <colItems count="1">
    <i/>
  </colItems>
  <dataFields count="1">
    <dataField name="Sum of Total" fld="10"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196201-953A-4379-B685-82C9B6B0A6C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ethods">
  <location ref="R3:T8" firstHeaderRow="0" firstDataRow="1" firstDataCol="1"/>
  <pivotFields count="13">
    <pivotField showAll="0"/>
    <pivotField showAll="0"/>
    <pivotField dataField="1"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axis="axisRow"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8"/>
  </rowFields>
  <rowItems count="5">
    <i>
      <x/>
    </i>
    <i>
      <x v="1"/>
    </i>
    <i>
      <x v="2"/>
    </i>
    <i>
      <x v="3"/>
    </i>
    <i t="grand">
      <x/>
    </i>
  </rowItems>
  <colFields count="1">
    <field x="-2"/>
  </colFields>
  <colItems count="2">
    <i>
      <x/>
    </i>
    <i i="1">
      <x v="1"/>
    </i>
  </colItems>
  <dataFields count="2">
    <dataField name="Revenue" fld="10" baseField="8" baseItem="0" numFmtId="164"/>
    <dataField name="Count" fld="2" subtotal="count" baseField="8"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1"/>
          </reference>
          <reference field="8" count="1" selected="0">
            <x v="0"/>
          </reference>
        </references>
      </pivotArea>
    </chartFormat>
    <chartFormat chart="0" format="7">
      <pivotArea type="data" outline="0" fieldPosition="0">
        <references count="2">
          <reference field="4294967294" count="1" selected="0">
            <x v="1"/>
          </reference>
          <reference field="8" count="1" selected="0">
            <x v="1"/>
          </reference>
        </references>
      </pivotArea>
    </chartFormat>
    <chartFormat chart="0" format="8">
      <pivotArea type="data" outline="0" fieldPosition="0">
        <references count="2">
          <reference field="4294967294" count="1" selected="0">
            <x v="1"/>
          </reference>
          <reference field="8" count="1" selected="0">
            <x v="2"/>
          </reference>
        </references>
      </pivotArea>
    </chartFormat>
    <chartFormat chart="0" format="9">
      <pivotArea type="data" outline="0" fieldPosition="0">
        <references count="2">
          <reference field="4294967294" count="1" selected="0">
            <x v="1"/>
          </reference>
          <reference field="8" count="1" selected="0">
            <x v="3"/>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8" count="1" selected="0">
            <x v="0"/>
          </reference>
        </references>
      </pivotArea>
    </chartFormat>
    <chartFormat chart="4" format="22">
      <pivotArea type="data" outline="0" fieldPosition="0">
        <references count="2">
          <reference field="4294967294" count="1" selected="0">
            <x v="0"/>
          </reference>
          <reference field="8" count="1" selected="0">
            <x v="1"/>
          </reference>
        </references>
      </pivotArea>
    </chartFormat>
    <chartFormat chart="4" format="23">
      <pivotArea type="data" outline="0" fieldPosition="0">
        <references count="2">
          <reference field="4294967294" count="1" selected="0">
            <x v="0"/>
          </reference>
          <reference field="8" count="1" selected="0">
            <x v="2"/>
          </reference>
        </references>
      </pivotArea>
    </chartFormat>
    <chartFormat chart="4" format="24">
      <pivotArea type="data" outline="0" fieldPosition="0">
        <references count="2">
          <reference field="4294967294" count="1" selected="0">
            <x v="0"/>
          </reference>
          <reference field="8" count="1" selected="0">
            <x v="3"/>
          </reference>
        </references>
      </pivotArea>
    </chartFormat>
    <chartFormat chart="4" format="25" series="1">
      <pivotArea type="data" outline="0" fieldPosition="0">
        <references count="1">
          <reference field="4294967294" count="1" selected="0">
            <x v="1"/>
          </reference>
        </references>
      </pivotArea>
    </chartFormat>
    <chartFormat chart="4" format="26">
      <pivotArea type="data" outline="0" fieldPosition="0">
        <references count="2">
          <reference field="4294967294" count="1" selected="0">
            <x v="1"/>
          </reference>
          <reference field="8" count="1" selected="0">
            <x v="0"/>
          </reference>
        </references>
      </pivotArea>
    </chartFormat>
    <chartFormat chart="4" format="27">
      <pivotArea type="data" outline="0" fieldPosition="0">
        <references count="2">
          <reference field="4294967294" count="1" selected="0">
            <x v="1"/>
          </reference>
          <reference field="8" count="1" selected="0">
            <x v="1"/>
          </reference>
        </references>
      </pivotArea>
    </chartFormat>
    <chartFormat chart="4" format="28">
      <pivotArea type="data" outline="0" fieldPosition="0">
        <references count="2">
          <reference field="4294967294" count="1" selected="0">
            <x v="1"/>
          </reference>
          <reference field="8" count="1" selected="0">
            <x v="2"/>
          </reference>
        </references>
      </pivotArea>
    </chartFormat>
    <chartFormat chart="4" format="29">
      <pivotArea type="data" outline="0" fieldPosition="0">
        <references count="2">
          <reference field="4294967294" count="1" selected="0">
            <x v="1"/>
          </reference>
          <reference field="8" count="1" selected="0">
            <x v="3"/>
          </reference>
        </references>
      </pivotArea>
    </chartFormat>
    <chartFormat chart="0" format="10">
      <pivotArea type="data" outline="0" fieldPosition="0">
        <references count="1">
          <reference field="4294967294" count="1" selected="0">
            <x v="0"/>
          </reference>
        </references>
      </pivotArea>
    </chartFormat>
    <chartFormat chart="0" format="1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C627A4-6529-400C-AA47-CEC8D048F02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O3:P14" firstHeaderRow="1" firstDataRow="1" firstDataCol="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axis="axisRow" showAll="0" measureFilter="1">
      <items count="21">
        <item x="5"/>
        <item x="4"/>
        <item x="0"/>
        <item x="6"/>
        <item x="8"/>
        <item x="16"/>
        <item x="15"/>
        <item x="18"/>
        <item x="19"/>
        <item x="12"/>
        <item x="17"/>
        <item x="9"/>
        <item x="3"/>
        <item x="7"/>
        <item x="1"/>
        <item x="14"/>
        <item x="2"/>
        <item x="13"/>
        <item x="11"/>
        <item x="10"/>
        <item t="default"/>
      </items>
    </pivotField>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4"/>
  </rowFields>
  <rowItems count="11">
    <i>
      <x/>
    </i>
    <i>
      <x v="1"/>
    </i>
    <i>
      <x v="2"/>
    </i>
    <i>
      <x v="3"/>
    </i>
    <i>
      <x v="4"/>
    </i>
    <i>
      <x v="9"/>
    </i>
    <i>
      <x v="12"/>
    </i>
    <i>
      <x v="13"/>
    </i>
    <i>
      <x v="17"/>
    </i>
    <i>
      <x v="18"/>
    </i>
    <i t="grand">
      <x/>
    </i>
  </rowItems>
  <colItems count="1">
    <i/>
  </colItems>
  <dataFields count="1">
    <dataField name="Sum of Total" fld="10"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95CCC4-8AA4-4549-B22D-F5166C7A142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Category ">
  <location ref="A3:B9" firstHeaderRow="1" firstDataRow="1" firstDataCol="1"/>
  <pivotFields count="13">
    <pivotField showAll="0"/>
    <pivotField showAll="0"/>
    <pivotField dataField="1"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axis="axisRow" showAll="0" sortType="ascending">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numFmtId="164" showAll="0">
      <items count="97">
        <item x="53"/>
        <item x="74"/>
        <item x="72"/>
        <item x="0"/>
        <item x="93"/>
        <item x="48"/>
        <item x="78"/>
        <item x="30"/>
        <item x="65"/>
        <item x="59"/>
        <item x="82"/>
        <item x="5"/>
        <item x="2"/>
        <item x="80"/>
        <item x="13"/>
        <item x="56"/>
        <item x="36"/>
        <item x="4"/>
        <item x="66"/>
        <item x="8"/>
        <item x="88"/>
        <item x="46"/>
        <item x="34"/>
        <item x="50"/>
        <item x="60"/>
        <item x="71"/>
        <item x="85"/>
        <item x="14"/>
        <item x="77"/>
        <item x="58"/>
        <item x="9"/>
        <item x="62"/>
        <item x="49"/>
        <item x="86"/>
        <item x="55"/>
        <item x="94"/>
        <item x="54"/>
        <item x="22"/>
        <item x="51"/>
        <item x="63"/>
        <item x="3"/>
        <item x="57"/>
        <item x="18"/>
        <item x="1"/>
        <item x="37"/>
        <item x="44"/>
        <item x="75"/>
        <item x="81"/>
        <item x="20"/>
        <item x="15"/>
        <item x="89"/>
        <item x="39"/>
        <item x="26"/>
        <item x="31"/>
        <item x="43"/>
        <item x="11"/>
        <item x="19"/>
        <item x="70"/>
        <item x="87"/>
        <item x="33"/>
        <item x="61"/>
        <item x="64"/>
        <item x="23"/>
        <item x="95"/>
        <item x="35"/>
        <item x="69"/>
        <item x="92"/>
        <item x="68"/>
        <item x="21"/>
        <item x="79"/>
        <item x="38"/>
        <item x="45"/>
        <item x="16"/>
        <item x="84"/>
        <item x="76"/>
        <item x="83"/>
        <item x="73"/>
        <item x="27"/>
        <item x="7"/>
        <item x="28"/>
        <item x="32"/>
        <item x="12"/>
        <item x="6"/>
        <item x="24"/>
        <item x="29"/>
        <item x="10"/>
        <item x="40"/>
        <item x="25"/>
        <item x="67"/>
        <item x="52"/>
        <item x="91"/>
        <item x="41"/>
        <item x="42"/>
        <item x="47"/>
        <item x="90"/>
        <item x="1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6">
    <i>
      <x/>
    </i>
    <i>
      <x v="1"/>
    </i>
    <i>
      <x v="2"/>
    </i>
    <i>
      <x v="3"/>
    </i>
    <i>
      <x v="4"/>
    </i>
    <i t="grand">
      <x/>
    </i>
  </rowItems>
  <colItems count="1">
    <i/>
  </colItems>
  <dataFields count="1">
    <dataField name="Count of Order_ID" fld="2" subtotal="count" baseField="0" baseItem="0"/>
  </dataFields>
  <chartFormats count="3">
    <chartFormat chart="0"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91044D-EAAD-46AC-AE07-2A2981E599C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tatus">
  <location ref="G2:H8" firstHeaderRow="1" firstDataRow="1" firstDataCol="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axis="axisRow" showAll="0" sortType="ascending">
      <items count="6">
        <item x="3"/>
        <item x="2"/>
        <item x="1"/>
        <item x="4"/>
        <item x="0"/>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9"/>
  </rowFields>
  <rowItems count="6">
    <i>
      <x/>
    </i>
    <i>
      <x v="1"/>
    </i>
    <i>
      <x v="2"/>
    </i>
    <i>
      <x v="3"/>
    </i>
    <i>
      <x v="4"/>
    </i>
    <i t="grand">
      <x/>
    </i>
  </rowItems>
  <colItems count="1">
    <i/>
  </colItems>
  <dataFields count="1">
    <dataField name="Revenue" fld="10" baseField="9" baseItem="0" numFmtId="164"/>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9" count="1" selected="0">
            <x v="0"/>
          </reference>
        </references>
      </pivotArea>
    </chartFormat>
    <chartFormat chart="7" format="8">
      <pivotArea type="data" outline="0" fieldPosition="0">
        <references count="2">
          <reference field="4294967294" count="1" selected="0">
            <x v="0"/>
          </reference>
          <reference field="9" count="1" selected="0">
            <x v="1"/>
          </reference>
        </references>
      </pivotArea>
    </chartFormat>
    <chartFormat chart="7" format="9">
      <pivotArea type="data" outline="0" fieldPosition="0">
        <references count="2">
          <reference field="4294967294" count="1" selected="0">
            <x v="0"/>
          </reference>
          <reference field="9" count="1" selected="0">
            <x v="2"/>
          </reference>
        </references>
      </pivotArea>
    </chartFormat>
    <chartFormat chart="7" format="10">
      <pivotArea type="data" outline="0" fieldPosition="0">
        <references count="2">
          <reference field="4294967294" count="1" selected="0">
            <x v="0"/>
          </reference>
          <reference field="9" count="1" selected="0">
            <x v="3"/>
          </reference>
        </references>
      </pivotArea>
    </chartFormat>
    <chartFormat chart="7" format="11">
      <pivotArea type="data" outline="0" fieldPosition="0">
        <references count="2">
          <reference field="4294967294" count="1" selected="0">
            <x v="0"/>
          </reference>
          <reference field="9"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9" count="1" selected="0">
            <x v="0"/>
          </reference>
        </references>
      </pivotArea>
    </chartFormat>
    <chartFormat chart="8" format="14">
      <pivotArea type="data" outline="0" fieldPosition="0">
        <references count="2">
          <reference field="4294967294" count="1" selected="0">
            <x v="0"/>
          </reference>
          <reference field="9" count="1" selected="0">
            <x v="1"/>
          </reference>
        </references>
      </pivotArea>
    </chartFormat>
    <chartFormat chart="8" format="15">
      <pivotArea type="data" outline="0" fieldPosition="0">
        <references count="2">
          <reference field="4294967294" count="1" selected="0">
            <x v="0"/>
          </reference>
          <reference field="9" count="1" selected="0">
            <x v="2"/>
          </reference>
        </references>
      </pivotArea>
    </chartFormat>
    <chartFormat chart="8" format="16">
      <pivotArea type="data" outline="0" fieldPosition="0">
        <references count="2">
          <reference field="4294967294" count="1" selected="0">
            <x v="0"/>
          </reference>
          <reference field="9" count="1" selected="0">
            <x v="3"/>
          </reference>
        </references>
      </pivotArea>
    </chartFormat>
    <chartFormat chart="8" format="17">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D5B779-EA90-4086-9132-1E8B0041658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Category ">
  <location ref="B20:H27" firstHeaderRow="1" firstDataRow="2" firstDataCol="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axis="axisRow" showAll="0">
      <items count="6">
        <item x="3"/>
        <item x="4"/>
        <item x="1"/>
        <item x="0"/>
        <item x="2"/>
        <item t="default"/>
      </items>
    </pivotField>
    <pivotField numFmtId="2" showAll="0"/>
    <pivotField numFmtId="164" showAll="0"/>
    <pivotField showAll="0">
      <items count="5">
        <item x="2"/>
        <item x="0"/>
        <item x="3"/>
        <item x="1"/>
        <item t="default"/>
      </items>
    </pivotField>
    <pivotField axis="axisCol"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5"/>
  </rowFields>
  <rowItems count="6">
    <i>
      <x/>
    </i>
    <i>
      <x v="1"/>
    </i>
    <i>
      <x v="2"/>
    </i>
    <i>
      <x v="3"/>
    </i>
    <i>
      <x v="4"/>
    </i>
    <i t="grand">
      <x/>
    </i>
  </rowItems>
  <colFields count="1">
    <field x="9"/>
  </colFields>
  <colItems count="6">
    <i>
      <x/>
    </i>
    <i>
      <x v="1"/>
    </i>
    <i>
      <x v="2"/>
    </i>
    <i>
      <x v="3"/>
    </i>
    <i>
      <x v="4"/>
    </i>
    <i t="grand">
      <x/>
    </i>
  </colItems>
  <dataFields count="1">
    <dataField name="Sum of Total" fld="10" baseField="0" baseItem="0" numFmtId="164"/>
  </dataField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2" format="10" series="1">
      <pivotArea type="data" outline="0" fieldPosition="0">
        <references count="2">
          <reference field="4294967294" count="1" selected="0">
            <x v="0"/>
          </reference>
          <reference field="9" count="1" selected="0">
            <x v="0"/>
          </reference>
        </references>
      </pivotArea>
    </chartFormat>
    <chartFormat chart="2" format="11" series="1">
      <pivotArea type="data" outline="0" fieldPosition="0">
        <references count="2">
          <reference field="4294967294" count="1" selected="0">
            <x v="0"/>
          </reference>
          <reference field="9" count="1" selected="0">
            <x v="1"/>
          </reference>
        </references>
      </pivotArea>
    </chartFormat>
    <chartFormat chart="2" format="12" series="1">
      <pivotArea type="data" outline="0" fieldPosition="0">
        <references count="2">
          <reference field="4294967294" count="1" selected="0">
            <x v="0"/>
          </reference>
          <reference field="9" count="1" selected="0">
            <x v="2"/>
          </reference>
        </references>
      </pivotArea>
    </chartFormat>
    <chartFormat chart="2" format="13" series="1">
      <pivotArea type="data" outline="0" fieldPosition="0">
        <references count="2">
          <reference field="4294967294" count="1" selected="0">
            <x v="0"/>
          </reference>
          <reference field="9" count="1" selected="0">
            <x v="3"/>
          </reference>
        </references>
      </pivotArea>
    </chartFormat>
    <chartFormat chart="2" format="14" series="1">
      <pivotArea type="data" outline="0" fieldPosition="0">
        <references count="2">
          <reference field="4294967294" count="1" selected="0">
            <x v="0"/>
          </reference>
          <reference field="9" count="1" selected="0">
            <x v="4"/>
          </reference>
        </references>
      </pivotArea>
    </chartFormat>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5630B9-CB7D-47CE-8CD8-0530F24B61D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3:L16" firstHeaderRow="1" firstDataRow="1" firstDataCol="1"/>
  <pivotFields count="13">
    <pivotField showAll="0"/>
    <pivotField showAll="0"/>
    <pivotField dataField="1"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numFmtId="164" showAll="0"/>
    <pivotField axis="axisRow" showAll="0">
      <items count="15">
        <item h="1" x="0"/>
        <item x="1"/>
        <item x="2"/>
        <item x="3"/>
        <item x="4"/>
        <item x="5"/>
        <item x="6"/>
        <item x="7"/>
        <item x="8"/>
        <item x="9"/>
        <item x="10"/>
        <item x="11"/>
        <item x="12"/>
        <item h="1" x="13"/>
        <item t="default"/>
      </items>
    </pivotField>
    <pivotField axis="axisRow" showAll="0" sortType="ascending">
      <items count="4">
        <item h="1" x="0"/>
        <item h="1" x="2"/>
        <item x="1"/>
        <item t="default"/>
      </items>
    </pivotField>
  </pivotFields>
  <rowFields count="2">
    <field x="12"/>
    <field x="11"/>
  </rowFields>
  <rowItems count="13">
    <i>
      <x v="2"/>
    </i>
    <i r="1">
      <x v="1"/>
    </i>
    <i r="1">
      <x v="2"/>
    </i>
    <i r="1">
      <x v="3"/>
    </i>
    <i r="1">
      <x v="4"/>
    </i>
    <i r="1">
      <x v="5"/>
    </i>
    <i r="1">
      <x v="6"/>
    </i>
    <i r="1">
      <x v="7"/>
    </i>
    <i r="1">
      <x v="8"/>
    </i>
    <i r="1">
      <x v="9"/>
    </i>
    <i r="1">
      <x v="10"/>
    </i>
    <i r="1">
      <x v="11"/>
    </i>
    <i t="grand">
      <x/>
    </i>
  </rowItems>
  <colItems count="1">
    <i/>
  </colItems>
  <dataFields count="1">
    <dataField name="Count of Order_ID" fld="2" subtotal="count" baseField="0" baseItem="0"/>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EA8C98-D366-4F04-BFD3-C1356B79036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Items count="1">
    <i/>
  </rowItems>
  <colItems count="1">
    <i/>
  </colItems>
  <dataFields count="1">
    <dataField name="Sum of Total" fld="10" baseField="0" baseItem="0" numFmtId="164"/>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C93EB4-37A5-4DEA-B9A7-C159BC30D13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A14" firstHeaderRow="1" firstDataRow="1" firstDataCol="0"/>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Items count="1">
    <i/>
  </rowItems>
  <colItems count="1">
    <i/>
  </colItems>
  <dataFields count="1">
    <dataField name="Average of Total" fld="10" subtotal="average" baseField="0" baseItem="0" numFmtId="2"/>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13581B-C25E-4CE5-9B5C-30311F0803A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dataField="1" numFmtId="2" showAll="0"/>
    <pivotField numFmtId="164" showAll="0"/>
    <pivotField showAll="0">
      <items count="5">
        <item x="2"/>
        <item x="0"/>
        <item x="3"/>
        <item x="1"/>
        <item t="default"/>
      </items>
    </pivotField>
    <pivotField showAll="0">
      <items count="6">
        <item x="3"/>
        <item x="2"/>
        <item x="1"/>
        <item x="4"/>
        <item x="0"/>
        <item t="default"/>
      </items>
    </pivotField>
    <pivotField numFmtId="164" showAll="0"/>
    <pivotField showAll="0" defaultSubtotal="0"/>
    <pivotField showAll="0" defaultSubtotal="0">
      <items count="3">
        <item x="0"/>
        <item x="1"/>
        <item x="2"/>
      </items>
    </pivotField>
  </pivotFields>
  <rowItems count="1">
    <i/>
  </rowItems>
  <colItems count="1">
    <i/>
  </colItems>
  <dataFields count="1">
    <dataField name="Sum of Quantity" fld="6" baseField="0" baseItem="0" numFmtId="2"/>
  </dataFields>
  <formats count="2">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07CFEA-BD89-402B-AF8D-C3757C1E804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13">
    <pivotField showAll="0"/>
    <pivotField showAll="0"/>
    <pivotField dataField="1"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numFmtId="164" showAll="0"/>
    <pivotField showAll="0" defaultSubtotal="0"/>
    <pivotField showAll="0" defaultSubtotal="0">
      <items count="3">
        <item x="0"/>
        <item x="1"/>
        <item x="2"/>
      </items>
    </pivotField>
  </pivotFields>
  <rowItems count="1">
    <i/>
  </rowItems>
  <colItems count="1">
    <i/>
  </colItems>
  <dataFields count="1">
    <dataField name="Count of Order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0A3F87-7100-4117-A010-E4085D37ACF5}" sourceName="Category">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9"/>
    <pivotTable tabId="12" name="PivotTable1"/>
    <pivotTable tabId="12" name="PivotTable2"/>
    <pivotTable tabId="12" name="PivotTable3"/>
    <pivotTable tabId="12" name="PivotTable4"/>
  </pivotTables>
  <data>
    <tabular pivotCacheId="1404669368">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F279D47-1028-4BB1-B7EB-933FE5B797C4}" sourceName="Payment_Method">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9"/>
    <pivotTable tabId="12" name="PivotTable1"/>
    <pivotTable tabId="12" name="PivotTable2"/>
    <pivotTable tabId="12" name="PivotTable3"/>
    <pivotTable tabId="12" name="PivotTable4"/>
  </pivotTables>
  <data>
    <tabular pivotCacheId="1404669368">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E3568E6-3AFF-47CD-A378-59C774C1589B}" sourceName="Status">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9"/>
    <pivotTable tabId="12" name="PivotTable1"/>
    <pivotTable tabId="12" name="PivotTable2"/>
    <pivotTable tabId="12" name="PivotTable3"/>
    <pivotTable tabId="12" name="PivotTable4"/>
  </pivotTables>
  <data>
    <tabular pivotCacheId="1404669368">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A4F3EB4-EA9A-4471-94B3-71F7C13695B5}" cache="Slicer_Category" caption="Category" rowHeight="234950"/>
  <slicer name="Payment_Method" xr10:uid="{937D09C1-AD21-49E9-8361-428D3D9D72DB}" cache="Slicer_Payment_Method" caption="Payment_Method" rowHeight="234950"/>
  <slicer name="Status" xr10:uid="{97BE4D3B-10E2-45F3-BBB7-C5DCF4B2811F}" cache="Slicer_Status" captio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8CADA15-5C89-44BE-9989-9501D53BE476}" cache="Slicer_Category" caption="Category" style="Slicer Style 3" rowHeight="234950"/>
  <slicer name="Payment_Method 1" xr10:uid="{46D543E6-B537-40A6-A918-78AFD7B211C1}" cache="Slicer_Payment_Method" caption="Payment_Method" style="Slicer Style 3" rowHeight="234950"/>
  <slicer name="Status 1" xr10:uid="{68D2FF4B-D5CE-47E4-808D-4D16132F8C67}" cache="Slicer_Status" caption="Status"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5AC2EE-0EBB-4266-A251-6F51560828CF}" name="Table1" displayName="Table1" ref="A1:K101" totalsRowShown="0">
  <autoFilter ref="A1:K101" xr:uid="{695AC2EE-0EBB-4266-A251-6F51560828CF}"/>
  <sortState xmlns:xlrd2="http://schemas.microsoft.com/office/spreadsheetml/2017/richdata2" ref="A2:K101">
    <sortCondition ref="A2:A101"/>
  </sortState>
  <tableColumns count="11">
    <tableColumn id="1" xr3:uid="{A8E6C5C6-E834-4CF7-88EA-4DEBC97B9C1A}" name="ID"/>
    <tableColumn id="2" xr3:uid="{3A6666BF-C492-41F5-A61B-CA295F764734}" name=" Customer_Name"/>
    <tableColumn id="3" xr3:uid="{D9BAEE83-EFE3-4AAC-8584-C9AA63F140AA}" name="Order_ID"/>
    <tableColumn id="4" xr3:uid="{511AF0E1-C943-42C7-9D6E-41C024A4A804}" name="Order_Date" dataDxfId="43"/>
    <tableColumn id="5" xr3:uid="{DC2478FA-8511-4643-8365-B6559B59005E}" name=" Product"/>
    <tableColumn id="6" xr3:uid="{3D625A18-2569-4AE0-A341-01CD3A90B0A4}" name="Category"/>
    <tableColumn id="7" xr3:uid="{629A434F-F55C-4B8E-AA39-949ECA6D945C}" name="Quantity" dataDxfId="42">
      <calculatedColumnFormula>IF(OR(W2="",W2=0),AVERAGEIF(W:W,"&gt;0"),W2)</calculatedColumnFormula>
    </tableColumn>
    <tableColumn id="8" xr3:uid="{0D0356B7-6021-4B0A-AB7C-A00D3C27A727}" name="Price" dataDxfId="41"/>
    <tableColumn id="9" xr3:uid="{1C1FA87B-C0CE-44C2-9A90-07AA7C71C148}" name="Payment_Method"/>
    <tableColumn id="10" xr3:uid="{7551C0CF-0C30-4878-857D-208C84C428CC}" name="Status"/>
    <tableColumn id="11" xr3:uid="{BD68F9AD-73DB-4F41-9602-C52D41BA0C71}" name="Total" dataDxfId="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54D9914-CB27-4051-8CD7-700C0722132B}" sourceName="Order_Date">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9"/>
    <pivotTable tabId="12" name="PivotTable1"/>
    <pivotTable tabId="12" name="PivotTable2"/>
    <pivotTable tabId="12" name="PivotTable3"/>
    <pivotTable tabId="12" name="PivotTable4"/>
  </pivotTables>
  <state minimalRefreshVersion="6" lastRefreshVersion="6" pivotCacheId="140466936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09F598C-910D-4423-AAA3-46FD0611329F}" cache="NativeTimeline_Order_Date"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1BCBC62-10A0-46BC-93D2-1F3C65ADA526}" cache="NativeTimeline_Order_Date" caption="Order_Date" level="0" selectionLevel="0" scrollPosition="2023-01-01T00:00:00" style="Timeline Style 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rinterSettings" Target="../printerSettings/printerSettings2.bin"/><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4"/>
  <sheetViews>
    <sheetView topLeftCell="A17" zoomScale="132" zoomScaleNormal="132" workbookViewId="0">
      <selection sqref="A1:K101"/>
    </sheetView>
  </sheetViews>
  <sheetFormatPr defaultRowHeight="14.4" x14ac:dyDescent="0.3"/>
  <cols>
    <col min="1" max="1" width="4.5546875" bestFit="1" customWidth="1"/>
    <col min="2" max="2" width="17.44140625" bestFit="1" customWidth="1"/>
    <col min="3" max="3" width="10.33203125" bestFit="1" customWidth="1"/>
    <col min="4" max="4" width="12.44140625" bestFit="1" customWidth="1"/>
    <col min="5" max="6" width="12.33203125" bestFit="1" customWidth="1"/>
    <col min="7" max="7" width="10.109375" bestFit="1" customWidth="1"/>
    <col min="8" max="8" width="11.109375" bestFit="1" customWidth="1"/>
    <col min="9" max="9" width="18.33203125" style="2" bestFit="1" customWidth="1"/>
    <col min="10" max="10" width="9.5546875" bestFit="1" customWidth="1"/>
    <col min="11" max="11" width="11.109375" bestFit="1" customWidth="1"/>
    <col min="12" max="13" width="11.109375" customWidth="1"/>
    <col min="14" max="14" width="12.5546875" style="2" customWidth="1"/>
    <col min="15" max="15" width="15.33203125" customWidth="1"/>
    <col min="18" max="18" width="11" bestFit="1" customWidth="1"/>
    <col min="27" max="27" width="31.88671875" customWidth="1"/>
    <col min="28" max="28" width="12.88671875" bestFit="1" customWidth="1"/>
    <col min="29" max="29" width="11.109375" bestFit="1" customWidth="1"/>
    <col min="30" max="30" width="12.33203125" bestFit="1" customWidth="1"/>
    <col min="31" max="31" width="9.88671875" bestFit="1" customWidth="1"/>
    <col min="32" max="32" width="17.6640625" customWidth="1"/>
  </cols>
  <sheetData>
    <row r="1" spans="1:32" x14ac:dyDescent="0.3">
      <c r="A1" t="s">
        <v>0</v>
      </c>
      <c r="B1" t="s">
        <v>1</v>
      </c>
      <c r="C1" t="s">
        <v>2</v>
      </c>
      <c r="D1" t="s">
        <v>3</v>
      </c>
      <c r="E1" t="s">
        <v>4</v>
      </c>
      <c r="F1" t="s">
        <v>5</v>
      </c>
      <c r="G1" t="s">
        <v>6</v>
      </c>
      <c r="H1" s="2" t="s">
        <v>7</v>
      </c>
      <c r="I1" t="s">
        <v>8</v>
      </c>
      <c r="J1" t="s">
        <v>9</v>
      </c>
      <c r="K1" s="2" t="s">
        <v>10</v>
      </c>
      <c r="L1" s="2"/>
      <c r="M1" s="2"/>
      <c r="N1"/>
      <c r="O1" s="3" t="s">
        <v>3</v>
      </c>
    </row>
    <row r="2" spans="1:32" x14ac:dyDescent="0.3">
      <c r="A2">
        <v>100</v>
      </c>
      <c r="B2" t="s">
        <v>11</v>
      </c>
      <c r="C2" t="s">
        <v>12</v>
      </c>
      <c r="D2" s="1">
        <v>45618</v>
      </c>
      <c r="E2" t="s">
        <v>13</v>
      </c>
      <c r="F2" t="s">
        <v>14</v>
      </c>
      <c r="G2" s="6">
        <f t="shared" ref="G2:G33" si="0">IF(OR(W2="",W2=0),AVERAGEIF(W:W,"&gt;0"),W2)</f>
        <v>3</v>
      </c>
      <c r="H2" s="2">
        <v>38</v>
      </c>
      <c r="I2" t="s">
        <v>15</v>
      </c>
      <c r="J2" t="s">
        <v>16</v>
      </c>
      <c r="K2" s="2">
        <v>114</v>
      </c>
      <c r="L2" s="2"/>
      <c r="M2" s="2"/>
      <c r="N2" t="str">
        <f>IFERROR(DATEVALUE(A2),"")</f>
        <v/>
      </c>
      <c r="O2" s="4">
        <v>22</v>
      </c>
      <c r="P2">
        <v>11</v>
      </c>
      <c r="Q2">
        <v>2024</v>
      </c>
      <c r="R2" s="1">
        <f t="shared" ref="R2:R33" si="1">IFERROR(DATE(Q2,P2,DAY(O2)),DATEVALUE(O2))</f>
        <v>45618</v>
      </c>
      <c r="T2">
        <v>3</v>
      </c>
      <c r="U2">
        <f>IFERROR(VALUE(T2),"")</f>
        <v>3</v>
      </c>
      <c r="V2">
        <f>IF(U2&lt;0,ABS(U2),U2)</f>
        <v>3</v>
      </c>
      <c r="W2">
        <f>IF(V2="","",V2)</f>
        <v>3</v>
      </c>
      <c r="X2">
        <f>IF(OR(W2="",W2=0),"",W2)</f>
        <v>3</v>
      </c>
      <c r="Y2" s="6">
        <f>AVERAGEIF(X:X,"&gt;0")</f>
        <v>3.0744680851063828</v>
      </c>
      <c r="Z2" s="6">
        <f>IF(OR(W2="",W2=0),AVERAGEIF(W:W,"&gt;0"),W2)</f>
        <v>3</v>
      </c>
      <c r="AA2">
        <f t="shared" ref="AA2:AA33" si="2">IFERROR(IF(VALUE(SUBSTITUTE(SUBSTITUTE(SUBSTITUTE(SUBSTITUTE(H2,"₹",""),"$",""),",","")," ",""))&lt;0,"",VALUE(SUBSTITUTE(SUBSTITUTE(SUBSTITUTE(SUBSTITUTE(H2,"₹",""),"$",""),",","")," ",""))),"")</f>
        <v>38</v>
      </c>
      <c r="AB2" s="2">
        <f>IF(AA2="",AVERAGE(AA:AA),AA2)</f>
        <v>38</v>
      </c>
      <c r="AC2" s="2">
        <f t="shared" ref="AC2:AC33" si="3">G2*H2</f>
        <v>114</v>
      </c>
      <c r="AD2" t="str">
        <f t="shared" ref="AD2:AD33" si="4">IF(F2&lt;&gt;"", F2, _xlfn.XLOOKUP(E2, E:E, F:F, ""))</f>
        <v>Home</v>
      </c>
      <c r="AE2" t="str">
        <f>PROPER(TRIM(F2))</f>
        <v>Home</v>
      </c>
      <c r="AF2" t="str" cm="1">
        <f t="array" ref="AF2">IF(OR(F2=0,F2="0"),   _xlfn.XLOOKUP(E2, _xlfn._xlws.FILTER(E:E, (F:F&lt;&gt;"0")*(F:F&lt;&gt;0)), _xlfn._xlws.FILTER(F:F, (F:F&lt;&gt;"0")*(F:F&lt;&gt;0)), ""),F2)</f>
        <v>Home</v>
      </c>
    </row>
    <row r="3" spans="1:32" x14ac:dyDescent="0.3">
      <c r="A3">
        <v>101</v>
      </c>
      <c r="B3" t="s">
        <v>17</v>
      </c>
      <c r="C3" t="s">
        <v>18</v>
      </c>
      <c r="D3" s="1">
        <v>45843</v>
      </c>
      <c r="E3" t="s">
        <v>19</v>
      </c>
      <c r="F3" t="s">
        <v>20</v>
      </c>
      <c r="G3" s="6">
        <f t="shared" si="0"/>
        <v>2</v>
      </c>
      <c r="H3" s="2">
        <v>621.52978021978015</v>
      </c>
      <c r="I3" t="s">
        <v>21</v>
      </c>
      <c r="J3" t="s">
        <v>22</v>
      </c>
      <c r="K3" s="2">
        <v>1243.0595604395603</v>
      </c>
      <c r="L3" s="2"/>
      <c r="M3" s="2"/>
      <c r="N3"/>
      <c r="O3" s="5">
        <v>5</v>
      </c>
      <c r="P3">
        <v>7</v>
      </c>
      <c r="Q3">
        <v>2025</v>
      </c>
      <c r="R3" s="1">
        <f t="shared" si="1"/>
        <v>45843</v>
      </c>
      <c r="T3">
        <v>2</v>
      </c>
      <c r="U3">
        <f t="shared" ref="U3:U67" si="5">IFERROR(VALUE(T3),"")</f>
        <v>2</v>
      </c>
      <c r="V3">
        <f t="shared" ref="V3:V66" si="6">IF(U3&lt;0,ABS(U3),U3)</f>
        <v>2</v>
      </c>
      <c r="W3">
        <f t="shared" ref="W3:W66" si="7">IF(V3="","",V3)</f>
        <v>2</v>
      </c>
      <c r="X3">
        <f t="shared" ref="X3:X66" si="8">IF(OR(W3="",W3=0),"",W3)</f>
        <v>2</v>
      </c>
      <c r="Z3" s="6">
        <f t="shared" ref="Z3:Z66" si="9">IF(OR(W3="",W3=0),AVERAGEIF(W:W,"&gt;0"),W3)</f>
        <v>2</v>
      </c>
      <c r="AA3">
        <f t="shared" si="2"/>
        <v>621.52978021978004</v>
      </c>
      <c r="AB3" s="2">
        <f t="shared" ref="AB3:AB66" si="10">IF(AA3="",AVERAGE(AA:AA),AA3)</f>
        <v>621.52978021978004</v>
      </c>
      <c r="AC3" s="2">
        <f t="shared" si="3"/>
        <v>1243.0595604395603</v>
      </c>
      <c r="AD3" t="str">
        <f t="shared" si="4"/>
        <v>Electronics</v>
      </c>
      <c r="AE3" t="str">
        <f t="shared" ref="AE3:AE66" si="11">PROPER(TRIM(F3))</f>
        <v>Electronics</v>
      </c>
      <c r="AF3" t="str" cm="1">
        <f t="array" ref="AF3">IF(OR(F3=0,F3="0"),   _xlfn.XLOOKUP(E3, _xlfn._xlws.FILTER(E:E, (F:F&lt;&gt;"0")*(F:F&lt;&gt;0)), _xlfn._xlws.FILTER(F:F, (F:F&lt;&gt;"0")*(F:F&lt;&gt;0)), ""),F3)</f>
        <v>Electronics</v>
      </c>
    </row>
    <row r="4" spans="1:32" x14ac:dyDescent="0.3">
      <c r="A4">
        <v>102</v>
      </c>
      <c r="B4" t="s">
        <v>23</v>
      </c>
      <c r="C4" t="s">
        <v>24</v>
      </c>
      <c r="D4" s="1">
        <v>45649</v>
      </c>
      <c r="E4" t="s">
        <v>25</v>
      </c>
      <c r="F4" t="s">
        <v>26</v>
      </c>
      <c r="G4" s="6">
        <f t="shared" si="0"/>
        <v>1</v>
      </c>
      <c r="H4" s="2">
        <v>389.05</v>
      </c>
      <c r="I4" t="s">
        <v>21</v>
      </c>
      <c r="J4" t="s">
        <v>27</v>
      </c>
      <c r="K4" s="2">
        <v>389.05</v>
      </c>
      <c r="L4" s="2"/>
      <c r="M4" s="2"/>
      <c r="N4"/>
      <c r="O4" s="4">
        <v>23</v>
      </c>
      <c r="P4">
        <v>12</v>
      </c>
      <c r="Q4">
        <v>2024</v>
      </c>
      <c r="R4" s="1">
        <f t="shared" si="1"/>
        <v>45649</v>
      </c>
      <c r="T4">
        <v>1</v>
      </c>
      <c r="U4">
        <f t="shared" si="5"/>
        <v>1</v>
      </c>
      <c r="V4">
        <f t="shared" si="6"/>
        <v>1</v>
      </c>
      <c r="W4">
        <f t="shared" si="7"/>
        <v>1</v>
      </c>
      <c r="X4">
        <f t="shared" si="8"/>
        <v>1</v>
      </c>
      <c r="Z4" s="6">
        <f t="shared" si="9"/>
        <v>1</v>
      </c>
      <c r="AA4">
        <f t="shared" si="2"/>
        <v>389.05</v>
      </c>
      <c r="AB4" s="2">
        <f t="shared" si="10"/>
        <v>389.05</v>
      </c>
      <c r="AC4" s="2">
        <f t="shared" si="3"/>
        <v>389.05</v>
      </c>
      <c r="AD4" t="str">
        <f t="shared" si="4"/>
        <v>Sports</v>
      </c>
      <c r="AE4" t="str">
        <f t="shared" si="11"/>
        <v>Sports</v>
      </c>
      <c r="AF4" t="str" cm="1">
        <f t="array" ref="AF4">IF(OR(F4=0,F4="0"),   _xlfn.XLOOKUP(E4, _xlfn._xlws.FILTER(E:E, (F:F&lt;&gt;"0")*(F:F&lt;&gt;0)), _xlfn._xlws.FILTER(F:F, (F:F&lt;&gt;"0")*(F:F&lt;&gt;0)), ""),F4)</f>
        <v>Sports</v>
      </c>
    </row>
    <row r="5" spans="1:32" x14ac:dyDescent="0.3">
      <c r="A5">
        <v>103</v>
      </c>
      <c r="B5" t="s">
        <v>28</v>
      </c>
      <c r="C5" t="s">
        <v>29</v>
      </c>
      <c r="D5" s="1">
        <v>45735</v>
      </c>
      <c r="E5" t="s">
        <v>30</v>
      </c>
      <c r="F5" t="s">
        <v>31</v>
      </c>
      <c r="G5" s="6">
        <f t="shared" si="0"/>
        <v>5</v>
      </c>
      <c r="H5" s="2">
        <v>233.92</v>
      </c>
      <c r="I5" t="s">
        <v>21</v>
      </c>
      <c r="J5" t="s">
        <v>22</v>
      </c>
      <c r="K5" s="2">
        <v>1169.5999999999999</v>
      </c>
      <c r="L5" s="2"/>
      <c r="M5" s="2"/>
      <c r="N5"/>
      <c r="O5" s="5">
        <v>19</v>
      </c>
      <c r="P5">
        <v>3</v>
      </c>
      <c r="Q5">
        <v>2025</v>
      </c>
      <c r="R5" s="1">
        <f t="shared" si="1"/>
        <v>45735</v>
      </c>
      <c r="T5">
        <v>5</v>
      </c>
      <c r="U5">
        <f t="shared" si="5"/>
        <v>5</v>
      </c>
      <c r="V5">
        <f t="shared" si="6"/>
        <v>5</v>
      </c>
      <c r="W5">
        <f t="shared" si="7"/>
        <v>5</v>
      </c>
      <c r="X5">
        <f t="shared" si="8"/>
        <v>5</v>
      </c>
      <c r="Z5" s="6">
        <f t="shared" si="9"/>
        <v>5</v>
      </c>
      <c r="AA5">
        <f t="shared" si="2"/>
        <v>233.92</v>
      </c>
      <c r="AB5" s="2">
        <f t="shared" si="10"/>
        <v>233.92</v>
      </c>
      <c r="AC5" s="2">
        <f t="shared" si="3"/>
        <v>1169.5999999999999</v>
      </c>
      <c r="AD5" t="str">
        <f t="shared" si="4"/>
        <v>Books</v>
      </c>
      <c r="AE5" t="str">
        <f t="shared" si="11"/>
        <v>Books</v>
      </c>
      <c r="AF5" t="str" cm="1">
        <f t="array" ref="AF5">IF(OR(F5=0,F5="0"),   _xlfn.XLOOKUP(E5, _xlfn._xlws.FILTER(E:E, (F:F&lt;&gt;"0")*(F:F&lt;&gt;0)), _xlfn._xlws.FILTER(F:F, (F:F&lt;&gt;"0")*(F:F&lt;&gt;0)), ""),F5)</f>
        <v>Books</v>
      </c>
    </row>
    <row r="6" spans="1:32" x14ac:dyDescent="0.3">
      <c r="A6">
        <v>104</v>
      </c>
      <c r="B6" t="s">
        <v>32</v>
      </c>
      <c r="C6" t="s">
        <v>33</v>
      </c>
      <c r="D6" s="1">
        <v>45950</v>
      </c>
      <c r="E6" t="s">
        <v>34</v>
      </c>
      <c r="F6" t="s">
        <v>31</v>
      </c>
      <c r="G6" s="6">
        <f t="shared" si="0"/>
        <v>1</v>
      </c>
      <c r="H6" s="2">
        <v>552.51</v>
      </c>
      <c r="I6" t="s">
        <v>15</v>
      </c>
      <c r="J6" t="s">
        <v>22</v>
      </c>
      <c r="K6" s="2">
        <v>552.51</v>
      </c>
      <c r="L6" s="2"/>
      <c r="M6" s="2"/>
      <c r="N6"/>
      <c r="O6" s="4">
        <v>20</v>
      </c>
      <c r="P6">
        <v>10</v>
      </c>
      <c r="Q6">
        <v>2025</v>
      </c>
      <c r="R6" s="1">
        <f t="shared" si="1"/>
        <v>45950</v>
      </c>
      <c r="T6">
        <v>1</v>
      </c>
      <c r="U6">
        <f t="shared" si="5"/>
        <v>1</v>
      </c>
      <c r="V6">
        <f t="shared" si="6"/>
        <v>1</v>
      </c>
      <c r="W6">
        <f t="shared" si="7"/>
        <v>1</v>
      </c>
      <c r="X6">
        <f t="shared" si="8"/>
        <v>1</v>
      </c>
      <c r="Z6" s="6">
        <f t="shared" si="9"/>
        <v>1</v>
      </c>
      <c r="AA6">
        <f t="shared" si="2"/>
        <v>552.51</v>
      </c>
      <c r="AB6" s="2">
        <f t="shared" si="10"/>
        <v>552.51</v>
      </c>
      <c r="AC6" s="2">
        <f t="shared" si="3"/>
        <v>552.51</v>
      </c>
      <c r="AD6" t="str">
        <f t="shared" si="4"/>
        <v>Books</v>
      </c>
      <c r="AE6" t="str">
        <f t="shared" si="11"/>
        <v>Books</v>
      </c>
      <c r="AF6" t="str" cm="1">
        <f t="array" ref="AF6">IF(OR(F6=0,F6="0"),   _xlfn.XLOOKUP(E6, _xlfn._xlws.FILTER(E:E, (F:F&lt;&gt;"0")*(F:F&lt;&gt;0)), _xlfn._xlws.FILTER(F:F, (F:F&lt;&gt;"0")*(F:F&lt;&gt;0)), ""),F6)</f>
        <v>Books</v>
      </c>
    </row>
    <row r="7" spans="1:32" x14ac:dyDescent="0.3">
      <c r="A7">
        <v>105</v>
      </c>
      <c r="B7" t="s">
        <v>35</v>
      </c>
      <c r="C7" t="s">
        <v>36</v>
      </c>
      <c r="D7" s="1">
        <v>45616</v>
      </c>
      <c r="E7" t="s">
        <v>25</v>
      </c>
      <c r="F7" t="s">
        <v>26</v>
      </c>
      <c r="G7" s="6">
        <f t="shared" si="0"/>
        <v>3</v>
      </c>
      <c r="H7" s="2">
        <v>122.06</v>
      </c>
      <c r="I7" t="s">
        <v>15</v>
      </c>
      <c r="J7" t="s">
        <v>37</v>
      </c>
      <c r="K7" s="2">
        <v>366.18</v>
      </c>
      <c r="L7" s="2"/>
      <c r="M7" s="2"/>
      <c r="N7"/>
      <c r="O7" s="5">
        <v>20</v>
      </c>
      <c r="P7">
        <v>11</v>
      </c>
      <c r="Q7">
        <v>2024</v>
      </c>
      <c r="R7" s="1">
        <f t="shared" si="1"/>
        <v>45616</v>
      </c>
      <c r="T7">
        <v>3</v>
      </c>
      <c r="U7">
        <f t="shared" si="5"/>
        <v>3</v>
      </c>
      <c r="V7">
        <f t="shared" si="6"/>
        <v>3</v>
      </c>
      <c r="W7">
        <f t="shared" si="7"/>
        <v>3</v>
      </c>
      <c r="X7">
        <f t="shared" si="8"/>
        <v>3</v>
      </c>
      <c r="Z7" s="6">
        <f t="shared" si="9"/>
        <v>3</v>
      </c>
      <c r="AA7">
        <f t="shared" si="2"/>
        <v>122.06</v>
      </c>
      <c r="AB7" s="2">
        <f t="shared" si="10"/>
        <v>122.06</v>
      </c>
      <c r="AC7" s="2">
        <f t="shared" si="3"/>
        <v>366.18</v>
      </c>
      <c r="AD7" t="str">
        <f t="shared" si="4"/>
        <v>Sports</v>
      </c>
      <c r="AE7" t="str">
        <f t="shared" si="11"/>
        <v>Sports</v>
      </c>
      <c r="AF7" t="str" cm="1">
        <f t="array" ref="AF7">IF(OR(F7=0,F7="0"),   _xlfn.XLOOKUP(E7, _xlfn._xlws.FILTER(E:E, (F:F&lt;&gt;"0")*(F:F&lt;&gt;0)), _xlfn._xlws.FILTER(F:F, (F:F&lt;&gt;"0")*(F:F&lt;&gt;0)), ""),F7)</f>
        <v>Sports</v>
      </c>
    </row>
    <row r="8" spans="1:32" x14ac:dyDescent="0.3">
      <c r="A8">
        <v>106</v>
      </c>
      <c r="B8" t="s">
        <v>38</v>
      </c>
      <c r="C8" t="s">
        <v>39</v>
      </c>
      <c r="D8" s="1">
        <v>45690</v>
      </c>
      <c r="E8" t="s">
        <v>13</v>
      </c>
      <c r="F8" t="s">
        <v>14</v>
      </c>
      <c r="G8" s="6">
        <f t="shared" si="0"/>
        <v>3.0744680851063828</v>
      </c>
      <c r="H8" s="2">
        <v>978.63</v>
      </c>
      <c r="I8" t="s">
        <v>40</v>
      </c>
      <c r="J8" t="s">
        <v>22</v>
      </c>
      <c r="K8" s="2">
        <v>3008.7667021276593</v>
      </c>
      <c r="L8" s="2"/>
      <c r="M8" s="2"/>
      <c r="N8"/>
      <c r="O8" s="4">
        <v>2</v>
      </c>
      <c r="P8">
        <v>2</v>
      </c>
      <c r="Q8">
        <v>2025</v>
      </c>
      <c r="R8" s="1">
        <f t="shared" si="1"/>
        <v>45690</v>
      </c>
      <c r="U8">
        <f>IFERROR(VALUE(T8),"")</f>
        <v>0</v>
      </c>
      <c r="V8">
        <f t="shared" si="6"/>
        <v>0</v>
      </c>
      <c r="W8">
        <f t="shared" si="7"/>
        <v>0</v>
      </c>
      <c r="X8" t="str">
        <f t="shared" si="8"/>
        <v/>
      </c>
      <c r="Z8" s="6">
        <f t="shared" si="9"/>
        <v>3.0744680851063828</v>
      </c>
      <c r="AA8">
        <f t="shared" si="2"/>
        <v>978.63</v>
      </c>
      <c r="AB8" s="2">
        <f t="shared" si="10"/>
        <v>978.63</v>
      </c>
      <c r="AC8" s="2">
        <f t="shared" si="3"/>
        <v>3008.7667021276593</v>
      </c>
      <c r="AD8" t="str">
        <f t="shared" si="4"/>
        <v>Home</v>
      </c>
      <c r="AE8" t="str">
        <f t="shared" si="11"/>
        <v>Home</v>
      </c>
      <c r="AF8" t="str" cm="1">
        <f t="array" ref="AF8">IF(OR(F8=0,F8="0"),   _xlfn.XLOOKUP(E8, _xlfn._xlws.FILTER(E:E, (F:F&lt;&gt;"0")*(F:F&lt;&gt;0)), _xlfn._xlws.FILTER(F:F, (F:F&lt;&gt;"0")*(F:F&lt;&gt;0)), ""),F8)</f>
        <v>Home</v>
      </c>
    </row>
    <row r="9" spans="1:32" x14ac:dyDescent="0.3">
      <c r="A9">
        <v>107</v>
      </c>
      <c r="B9" t="s">
        <v>41</v>
      </c>
      <c r="C9" t="s">
        <v>42</v>
      </c>
      <c r="D9" s="1">
        <v>45660</v>
      </c>
      <c r="E9" t="s">
        <v>34</v>
      </c>
      <c r="F9" t="s">
        <v>31</v>
      </c>
      <c r="G9" s="6">
        <f t="shared" si="0"/>
        <v>5</v>
      </c>
      <c r="H9" s="2">
        <v>587.67999999999995</v>
      </c>
      <c r="I9" t="s">
        <v>21</v>
      </c>
      <c r="J9" t="s">
        <v>43</v>
      </c>
      <c r="K9" s="2">
        <v>2938.3999999999996</v>
      </c>
      <c r="L9" s="2"/>
      <c r="M9" s="2"/>
      <c r="N9"/>
      <c r="O9" s="5">
        <v>3</v>
      </c>
      <c r="P9">
        <v>1</v>
      </c>
      <c r="Q9">
        <v>2025</v>
      </c>
      <c r="R9" s="1">
        <f t="shared" si="1"/>
        <v>45660</v>
      </c>
      <c r="T9">
        <v>5</v>
      </c>
      <c r="U9">
        <f t="shared" si="5"/>
        <v>5</v>
      </c>
      <c r="V9">
        <f t="shared" si="6"/>
        <v>5</v>
      </c>
      <c r="W9">
        <f t="shared" si="7"/>
        <v>5</v>
      </c>
      <c r="X9">
        <f t="shared" si="8"/>
        <v>5</v>
      </c>
      <c r="Z9" s="6">
        <f t="shared" si="9"/>
        <v>5</v>
      </c>
      <c r="AA9">
        <f t="shared" si="2"/>
        <v>587.67999999999995</v>
      </c>
      <c r="AB9" s="2">
        <f t="shared" si="10"/>
        <v>587.67999999999995</v>
      </c>
      <c r="AC9" s="2">
        <f t="shared" si="3"/>
        <v>2938.3999999999996</v>
      </c>
      <c r="AD9" t="str">
        <f t="shared" si="4"/>
        <v>Books</v>
      </c>
      <c r="AE9" t="str">
        <f t="shared" si="11"/>
        <v>Books</v>
      </c>
      <c r="AF9" t="str" cm="1">
        <f t="array" ref="AF9">IF(OR(F9=0,F9="0"),   _xlfn.XLOOKUP(E9, _xlfn._xlws.FILTER(E:E, (F:F&lt;&gt;"0")*(F:F&lt;&gt;0)), _xlfn._xlws.FILTER(F:F, (F:F&lt;&gt;"0")*(F:F&lt;&gt;0)), ""),F9)</f>
        <v>Books</v>
      </c>
    </row>
    <row r="10" spans="1:32" x14ac:dyDescent="0.3">
      <c r="A10">
        <v>108</v>
      </c>
      <c r="B10" t="s">
        <v>44</v>
      </c>
      <c r="C10" t="s">
        <v>45</v>
      </c>
      <c r="D10" s="1">
        <v>45953</v>
      </c>
      <c r="E10" t="s">
        <v>30</v>
      </c>
      <c r="F10" t="s">
        <v>31</v>
      </c>
      <c r="G10" s="6">
        <f t="shared" si="0"/>
        <v>1</v>
      </c>
      <c r="H10" s="2">
        <v>600.29</v>
      </c>
      <c r="I10" t="s">
        <v>15</v>
      </c>
      <c r="J10" t="s">
        <v>22</v>
      </c>
      <c r="K10" s="2">
        <v>600.29</v>
      </c>
      <c r="L10" s="2"/>
      <c r="M10" s="2"/>
      <c r="N10"/>
      <c r="O10" s="4">
        <v>23</v>
      </c>
      <c r="P10">
        <v>10</v>
      </c>
      <c r="Q10">
        <v>2025</v>
      </c>
      <c r="R10" s="1">
        <f t="shared" si="1"/>
        <v>45953</v>
      </c>
      <c r="T10">
        <v>1</v>
      </c>
      <c r="U10">
        <f t="shared" si="5"/>
        <v>1</v>
      </c>
      <c r="V10">
        <f t="shared" si="6"/>
        <v>1</v>
      </c>
      <c r="W10">
        <f t="shared" si="7"/>
        <v>1</v>
      </c>
      <c r="X10">
        <f t="shared" si="8"/>
        <v>1</v>
      </c>
      <c r="Z10" s="6">
        <f t="shared" si="9"/>
        <v>1</v>
      </c>
      <c r="AA10">
        <f t="shared" si="2"/>
        <v>600.29</v>
      </c>
      <c r="AB10" s="2">
        <f t="shared" si="10"/>
        <v>600.29</v>
      </c>
      <c r="AC10" s="2">
        <f t="shared" si="3"/>
        <v>600.29</v>
      </c>
      <c r="AD10" t="str">
        <f t="shared" si="4"/>
        <v>Books</v>
      </c>
      <c r="AE10" t="str">
        <f t="shared" si="11"/>
        <v>Books</v>
      </c>
      <c r="AF10" t="str" cm="1">
        <f t="array" ref="AF10">IF(OR(F10=0,F10="0"),   _xlfn.XLOOKUP(E10, _xlfn._xlws.FILTER(E:E, (F:F&lt;&gt;"0")*(F:F&lt;&gt;0)), _xlfn._xlws.FILTER(F:F, (F:F&lt;&gt;"0")*(F:F&lt;&gt;0)), ""),F10)</f>
        <v>Books</v>
      </c>
    </row>
    <row r="11" spans="1:32" x14ac:dyDescent="0.3">
      <c r="A11">
        <v>109</v>
      </c>
      <c r="B11" t="s">
        <v>46</v>
      </c>
      <c r="C11" t="s">
        <v>47</v>
      </c>
      <c r="D11" s="1">
        <v>45780</v>
      </c>
      <c r="E11" t="s">
        <v>25</v>
      </c>
      <c r="F11" t="s">
        <v>26</v>
      </c>
      <c r="G11" s="6">
        <f t="shared" si="0"/>
        <v>5</v>
      </c>
      <c r="H11" s="2">
        <v>168.34</v>
      </c>
      <c r="I11" t="s">
        <v>48</v>
      </c>
      <c r="J11" t="s">
        <v>16</v>
      </c>
      <c r="K11" s="2">
        <v>841.7</v>
      </c>
      <c r="L11" s="2"/>
      <c r="M11" s="2"/>
      <c r="N11"/>
      <c r="O11" s="5">
        <v>3</v>
      </c>
      <c r="P11">
        <v>5</v>
      </c>
      <c r="Q11">
        <v>2025</v>
      </c>
      <c r="R11" s="1">
        <f t="shared" si="1"/>
        <v>45780</v>
      </c>
      <c r="T11">
        <v>5</v>
      </c>
      <c r="U11">
        <f t="shared" si="5"/>
        <v>5</v>
      </c>
      <c r="V11">
        <f t="shared" si="6"/>
        <v>5</v>
      </c>
      <c r="W11">
        <f t="shared" si="7"/>
        <v>5</v>
      </c>
      <c r="X11">
        <f t="shared" si="8"/>
        <v>5</v>
      </c>
      <c r="Z11" s="6">
        <f t="shared" si="9"/>
        <v>5</v>
      </c>
      <c r="AA11">
        <f t="shared" si="2"/>
        <v>168.34</v>
      </c>
      <c r="AB11" s="2">
        <f t="shared" si="10"/>
        <v>168.34</v>
      </c>
      <c r="AC11" s="2">
        <f t="shared" si="3"/>
        <v>841.7</v>
      </c>
      <c r="AD11" t="str">
        <f t="shared" si="4"/>
        <v>Sports</v>
      </c>
      <c r="AE11" t="str">
        <f t="shared" si="11"/>
        <v>Sports</v>
      </c>
      <c r="AF11" t="str" cm="1">
        <f t="array" ref="AF11">IF(OR(F11=0,F11="0"),   _xlfn.XLOOKUP(E11, _xlfn._xlws.FILTER(E:E, (F:F&lt;&gt;"0")*(F:F&lt;&gt;0)), _xlfn._xlws.FILTER(F:F, (F:F&lt;&gt;"0")*(F:F&lt;&gt;0)), ""),F11)</f>
        <v>Sports</v>
      </c>
    </row>
    <row r="12" spans="1:32" x14ac:dyDescent="0.3">
      <c r="A12">
        <v>110</v>
      </c>
      <c r="B12" t="s">
        <v>49</v>
      </c>
      <c r="C12" t="s">
        <v>50</v>
      </c>
      <c r="D12" s="1">
        <v>45926</v>
      </c>
      <c r="E12" t="s">
        <v>51</v>
      </c>
      <c r="F12" t="s">
        <v>26</v>
      </c>
      <c r="G12" s="6">
        <f t="shared" si="0"/>
        <v>5</v>
      </c>
      <c r="H12" s="2">
        <v>621.52978021978015</v>
      </c>
      <c r="I12" t="s">
        <v>15</v>
      </c>
      <c r="J12" t="s">
        <v>37</v>
      </c>
      <c r="K12" s="2">
        <v>3107.6489010989008</v>
      </c>
      <c r="L12" s="2"/>
      <c r="M12" s="2"/>
      <c r="N12"/>
      <c r="O12" s="4">
        <v>26</v>
      </c>
      <c r="P12">
        <v>9</v>
      </c>
      <c r="Q12">
        <v>2025</v>
      </c>
      <c r="R12" s="1">
        <f t="shared" si="1"/>
        <v>45926</v>
      </c>
      <c r="T12">
        <v>5</v>
      </c>
      <c r="U12">
        <f t="shared" si="5"/>
        <v>5</v>
      </c>
      <c r="V12">
        <f t="shared" si="6"/>
        <v>5</v>
      </c>
      <c r="W12">
        <f t="shared" si="7"/>
        <v>5</v>
      </c>
      <c r="X12">
        <f t="shared" si="8"/>
        <v>5</v>
      </c>
      <c r="Z12" s="6">
        <f t="shared" si="9"/>
        <v>5</v>
      </c>
      <c r="AA12">
        <f t="shared" si="2"/>
        <v>621.52978021978004</v>
      </c>
      <c r="AB12" s="2">
        <f t="shared" si="10"/>
        <v>621.52978021978004</v>
      </c>
      <c r="AC12" s="2">
        <f t="shared" si="3"/>
        <v>3107.6489010989008</v>
      </c>
      <c r="AD12" t="str">
        <f t="shared" si="4"/>
        <v>Sports</v>
      </c>
      <c r="AE12" t="str">
        <f t="shared" si="11"/>
        <v>Sports</v>
      </c>
      <c r="AF12" t="str" cm="1">
        <f t="array" ref="AF12">IF(OR(F12=0,F12="0"),   _xlfn.XLOOKUP(E12, _xlfn._xlws.FILTER(E:E, (F:F&lt;&gt;"0")*(F:F&lt;&gt;0)), _xlfn._xlws.FILTER(F:F, (F:F&lt;&gt;"0")*(F:F&lt;&gt;0)), ""),F12)</f>
        <v>Sports</v>
      </c>
    </row>
    <row r="13" spans="1:32" x14ac:dyDescent="0.3">
      <c r="A13">
        <v>111</v>
      </c>
      <c r="B13" t="s">
        <v>52</v>
      </c>
      <c r="C13" t="s">
        <v>53</v>
      </c>
      <c r="D13" s="1">
        <v>45952</v>
      </c>
      <c r="E13" t="s">
        <v>54</v>
      </c>
      <c r="F13" t="s">
        <v>31</v>
      </c>
      <c r="G13" s="6">
        <f t="shared" si="0"/>
        <v>2</v>
      </c>
      <c r="H13" s="2">
        <v>865.77</v>
      </c>
      <c r="I13" t="s">
        <v>48</v>
      </c>
      <c r="J13" t="s">
        <v>43</v>
      </c>
      <c r="K13" s="2">
        <v>1731.54</v>
      </c>
      <c r="L13" s="2"/>
      <c r="M13" s="2"/>
      <c r="N13"/>
      <c r="O13" s="5">
        <v>22</v>
      </c>
      <c r="P13">
        <v>10</v>
      </c>
      <c r="Q13">
        <v>2025</v>
      </c>
      <c r="R13" s="1">
        <f t="shared" si="1"/>
        <v>45952</v>
      </c>
      <c r="T13">
        <v>2</v>
      </c>
      <c r="U13">
        <f t="shared" si="5"/>
        <v>2</v>
      </c>
      <c r="V13">
        <f t="shared" si="6"/>
        <v>2</v>
      </c>
      <c r="W13">
        <f t="shared" si="7"/>
        <v>2</v>
      </c>
      <c r="X13">
        <f t="shared" si="8"/>
        <v>2</v>
      </c>
      <c r="Z13" s="6">
        <f t="shared" si="9"/>
        <v>2</v>
      </c>
      <c r="AA13">
        <f t="shared" si="2"/>
        <v>865.77</v>
      </c>
      <c r="AB13" s="2">
        <f t="shared" si="10"/>
        <v>865.77</v>
      </c>
      <c r="AC13" s="2">
        <f t="shared" si="3"/>
        <v>1731.54</v>
      </c>
      <c r="AD13" t="str">
        <f t="shared" si="4"/>
        <v>Books</v>
      </c>
      <c r="AE13" t="str">
        <f t="shared" si="11"/>
        <v>Books</v>
      </c>
      <c r="AF13" t="str" cm="1">
        <f t="array" ref="AF13">IF(OR(F13=0,F13="0"),   _xlfn.XLOOKUP(E13, _xlfn._xlws.FILTER(E:E, (F:F&lt;&gt;"0")*(F:F&lt;&gt;0)), _xlfn._xlws.FILTER(F:F, (F:F&lt;&gt;"0")*(F:F&lt;&gt;0)), ""),F13)</f>
        <v>Books</v>
      </c>
    </row>
    <row r="14" spans="1:32" x14ac:dyDescent="0.3">
      <c r="A14">
        <v>112</v>
      </c>
      <c r="B14" t="s">
        <v>55</v>
      </c>
      <c r="C14" t="s">
        <v>56</v>
      </c>
      <c r="D14" s="1">
        <v>45718</v>
      </c>
      <c r="E14" t="s">
        <v>57</v>
      </c>
      <c r="F14" t="s">
        <v>58</v>
      </c>
      <c r="G14" s="6">
        <f t="shared" si="0"/>
        <v>4</v>
      </c>
      <c r="H14" s="2">
        <v>752.13</v>
      </c>
      <c r="I14" t="s">
        <v>40</v>
      </c>
      <c r="J14" t="s">
        <v>27</v>
      </c>
      <c r="K14" s="2">
        <v>3008.52</v>
      </c>
      <c r="L14" s="2"/>
      <c r="M14" s="2"/>
      <c r="N14"/>
      <c r="O14" s="4">
        <v>2</v>
      </c>
      <c r="P14">
        <v>3</v>
      </c>
      <c r="Q14">
        <v>2025</v>
      </c>
      <c r="R14" s="1">
        <f t="shared" si="1"/>
        <v>45718</v>
      </c>
      <c r="T14">
        <v>4</v>
      </c>
      <c r="U14">
        <f t="shared" si="5"/>
        <v>4</v>
      </c>
      <c r="V14">
        <f t="shared" si="6"/>
        <v>4</v>
      </c>
      <c r="W14">
        <f t="shared" si="7"/>
        <v>4</v>
      </c>
      <c r="X14">
        <f t="shared" si="8"/>
        <v>4</v>
      </c>
      <c r="Z14" s="6">
        <f t="shared" si="9"/>
        <v>4</v>
      </c>
      <c r="AA14">
        <f t="shared" si="2"/>
        <v>752.13</v>
      </c>
      <c r="AB14" s="2">
        <f t="shared" si="10"/>
        <v>752.13</v>
      </c>
      <c r="AC14" s="2">
        <f t="shared" si="3"/>
        <v>3008.52</v>
      </c>
      <c r="AD14" t="str">
        <f t="shared" si="4"/>
        <v>Clothing</v>
      </c>
      <c r="AE14" t="str">
        <f t="shared" si="11"/>
        <v>Clothing</v>
      </c>
      <c r="AF14" t="str" cm="1">
        <f t="array" ref="AF14">IF(OR(F14=0,F14="0"),   _xlfn.XLOOKUP(E14, _xlfn._xlws.FILTER(E:E, (F:F&lt;&gt;"0")*(F:F&lt;&gt;0)), _xlfn._xlws.FILTER(F:F, (F:F&lt;&gt;"0")*(F:F&lt;&gt;0)), ""),F14)</f>
        <v>Clothing</v>
      </c>
    </row>
    <row r="15" spans="1:32" x14ac:dyDescent="0.3">
      <c r="A15">
        <v>113</v>
      </c>
      <c r="B15" t="s">
        <v>59</v>
      </c>
      <c r="C15" t="s">
        <v>60</v>
      </c>
      <c r="D15" s="1">
        <v>45862</v>
      </c>
      <c r="E15" t="s">
        <v>61</v>
      </c>
      <c r="F15" t="s">
        <v>31</v>
      </c>
      <c r="G15" s="6">
        <f t="shared" si="0"/>
        <v>1</v>
      </c>
      <c r="H15" s="2">
        <v>411.81</v>
      </c>
      <c r="I15" t="s">
        <v>48</v>
      </c>
      <c r="J15" t="s">
        <v>22</v>
      </c>
      <c r="K15" s="2">
        <v>411.81</v>
      </c>
      <c r="L15" s="2"/>
      <c r="M15" s="2"/>
      <c r="N15"/>
      <c r="O15" s="5">
        <v>24</v>
      </c>
      <c r="P15">
        <v>7</v>
      </c>
      <c r="Q15">
        <v>2025</v>
      </c>
      <c r="R15" s="1">
        <f t="shared" si="1"/>
        <v>45862</v>
      </c>
      <c r="T15">
        <v>1</v>
      </c>
      <c r="U15">
        <f t="shared" si="5"/>
        <v>1</v>
      </c>
      <c r="V15">
        <f t="shared" si="6"/>
        <v>1</v>
      </c>
      <c r="W15">
        <f t="shared" si="7"/>
        <v>1</v>
      </c>
      <c r="X15">
        <f t="shared" si="8"/>
        <v>1</v>
      </c>
      <c r="Z15" s="6">
        <f t="shared" si="9"/>
        <v>1</v>
      </c>
      <c r="AA15">
        <f t="shared" si="2"/>
        <v>411.81</v>
      </c>
      <c r="AB15" s="2">
        <f t="shared" si="10"/>
        <v>411.81</v>
      </c>
      <c r="AC15" s="2">
        <f t="shared" si="3"/>
        <v>411.81</v>
      </c>
      <c r="AD15" t="str">
        <f t="shared" si="4"/>
        <v>Books</v>
      </c>
      <c r="AE15" t="str">
        <f t="shared" si="11"/>
        <v>Books</v>
      </c>
      <c r="AF15" t="str" cm="1">
        <f t="array" ref="AF15">IF(OR(F15=0,F15="0"),   _xlfn.XLOOKUP(E15, _xlfn._xlws.FILTER(E:E, (F:F&lt;&gt;"0")*(F:F&lt;&gt;0)), _xlfn._xlws.FILTER(F:F, (F:F&lt;&gt;"0")*(F:F&lt;&gt;0)), ""),F15)</f>
        <v>Books</v>
      </c>
    </row>
    <row r="16" spans="1:32" x14ac:dyDescent="0.3">
      <c r="A16">
        <v>114</v>
      </c>
      <c r="B16" t="s">
        <v>62</v>
      </c>
      <c r="C16" t="s">
        <v>63</v>
      </c>
      <c r="D16" s="1">
        <v>44931</v>
      </c>
      <c r="E16" t="s">
        <v>19</v>
      </c>
      <c r="F16" t="s">
        <v>20</v>
      </c>
      <c r="G16" s="6">
        <f t="shared" si="0"/>
        <v>2</v>
      </c>
      <c r="H16" s="2">
        <v>413.13</v>
      </c>
      <c r="I16" t="s">
        <v>15</v>
      </c>
      <c r="J16" t="s">
        <v>16</v>
      </c>
      <c r="K16" s="2">
        <v>826.26</v>
      </c>
      <c r="L16" s="2"/>
      <c r="M16" s="2"/>
      <c r="N16"/>
      <c r="O16" s="4" t="s">
        <v>64</v>
      </c>
      <c r="R16" s="1" t="e">
        <f t="shared" si="1"/>
        <v>#VALUE!</v>
      </c>
      <c r="T16">
        <v>2</v>
      </c>
      <c r="U16">
        <f t="shared" si="5"/>
        <v>2</v>
      </c>
      <c r="V16">
        <f t="shared" si="6"/>
        <v>2</v>
      </c>
      <c r="W16">
        <f t="shared" si="7"/>
        <v>2</v>
      </c>
      <c r="X16">
        <f t="shared" si="8"/>
        <v>2</v>
      </c>
      <c r="Z16" s="6">
        <f t="shared" si="9"/>
        <v>2</v>
      </c>
      <c r="AA16">
        <f t="shared" si="2"/>
        <v>413.13</v>
      </c>
      <c r="AB16" s="2">
        <f t="shared" si="10"/>
        <v>413.13</v>
      </c>
      <c r="AC16" s="2">
        <f t="shared" si="3"/>
        <v>826.26</v>
      </c>
      <c r="AD16" t="str">
        <f t="shared" si="4"/>
        <v>Electronics</v>
      </c>
      <c r="AE16" t="str">
        <f t="shared" si="11"/>
        <v>Electronics</v>
      </c>
      <c r="AF16" t="str" cm="1">
        <f t="array" ref="AF16">IF(OR(F16=0,F16="0"),   _xlfn.XLOOKUP(E16, _xlfn._xlws.FILTER(E:E, (F:F&lt;&gt;"0")*(F:F&lt;&gt;0)), _xlfn._xlws.FILTER(F:F, (F:F&lt;&gt;"0")*(F:F&lt;&gt;0)), ""),F16)</f>
        <v>Electronics</v>
      </c>
    </row>
    <row r="17" spans="1:32" x14ac:dyDescent="0.3">
      <c r="A17">
        <v>115</v>
      </c>
      <c r="B17" t="s">
        <v>65</v>
      </c>
      <c r="C17" t="s">
        <v>66</v>
      </c>
      <c r="D17" s="1">
        <v>45667</v>
      </c>
      <c r="E17" t="s">
        <v>61</v>
      </c>
      <c r="F17" t="s">
        <v>31</v>
      </c>
      <c r="G17" s="6">
        <f t="shared" si="0"/>
        <v>2</v>
      </c>
      <c r="H17" s="2">
        <v>796.84</v>
      </c>
      <c r="I17" t="s">
        <v>15</v>
      </c>
      <c r="J17" t="s">
        <v>43</v>
      </c>
      <c r="K17" s="2">
        <v>1593.68</v>
      </c>
      <c r="L17" s="2"/>
      <c r="M17" s="2"/>
      <c r="N17"/>
      <c r="O17" s="5">
        <v>10</v>
      </c>
      <c r="P17">
        <v>1</v>
      </c>
      <c r="Q17">
        <v>2025</v>
      </c>
      <c r="R17" s="1">
        <f t="shared" si="1"/>
        <v>45667</v>
      </c>
      <c r="T17">
        <v>2</v>
      </c>
      <c r="U17">
        <f t="shared" si="5"/>
        <v>2</v>
      </c>
      <c r="V17">
        <f t="shared" si="6"/>
        <v>2</v>
      </c>
      <c r="W17">
        <f t="shared" si="7"/>
        <v>2</v>
      </c>
      <c r="X17">
        <f t="shared" si="8"/>
        <v>2</v>
      </c>
      <c r="Z17" s="6">
        <f t="shared" si="9"/>
        <v>2</v>
      </c>
      <c r="AA17">
        <f t="shared" si="2"/>
        <v>796.84</v>
      </c>
      <c r="AB17" s="2">
        <f t="shared" si="10"/>
        <v>796.84</v>
      </c>
      <c r="AC17" s="2">
        <f t="shared" si="3"/>
        <v>1593.68</v>
      </c>
      <c r="AD17" t="str">
        <f t="shared" si="4"/>
        <v>Books</v>
      </c>
      <c r="AE17" t="str">
        <f t="shared" si="11"/>
        <v>Books</v>
      </c>
      <c r="AF17" t="str" cm="1">
        <f t="array" ref="AF17">IF(OR(F17=0,F17="0"),   _xlfn.XLOOKUP(E17, _xlfn._xlws.FILTER(E:E, (F:F&lt;&gt;"0")*(F:F&lt;&gt;0)), _xlfn._xlws.FILTER(F:F, (F:F&lt;&gt;"0")*(F:F&lt;&gt;0)), ""),F17)</f>
        <v>Books</v>
      </c>
    </row>
    <row r="18" spans="1:32" x14ac:dyDescent="0.3">
      <c r="A18">
        <v>116</v>
      </c>
      <c r="B18" t="s">
        <v>67</v>
      </c>
      <c r="C18" t="s">
        <v>68</v>
      </c>
      <c r="D18" s="1">
        <v>45960</v>
      </c>
      <c r="E18" t="s">
        <v>69</v>
      </c>
      <c r="F18" t="s">
        <v>14</v>
      </c>
      <c r="G18" s="6">
        <f t="shared" si="0"/>
        <v>4</v>
      </c>
      <c r="H18" s="2">
        <v>621.52978021978015</v>
      </c>
      <c r="I18" t="s">
        <v>15</v>
      </c>
      <c r="J18" t="s">
        <v>22</v>
      </c>
      <c r="K18" s="2">
        <v>2486.1191208791206</v>
      </c>
      <c r="L18" s="2"/>
      <c r="M18" s="2"/>
      <c r="N18"/>
      <c r="O18" s="4">
        <v>30</v>
      </c>
      <c r="P18">
        <v>10</v>
      </c>
      <c r="Q18">
        <v>2025</v>
      </c>
      <c r="R18" s="1">
        <f t="shared" si="1"/>
        <v>45960</v>
      </c>
      <c r="T18">
        <v>4</v>
      </c>
      <c r="U18">
        <f t="shared" si="5"/>
        <v>4</v>
      </c>
      <c r="V18">
        <f t="shared" si="6"/>
        <v>4</v>
      </c>
      <c r="W18">
        <f t="shared" si="7"/>
        <v>4</v>
      </c>
      <c r="X18">
        <f t="shared" si="8"/>
        <v>4</v>
      </c>
      <c r="Z18" s="6">
        <f t="shared" si="9"/>
        <v>4</v>
      </c>
      <c r="AA18">
        <f t="shared" si="2"/>
        <v>621.52978021978004</v>
      </c>
      <c r="AB18" s="2">
        <f t="shared" si="10"/>
        <v>621.52978021978004</v>
      </c>
      <c r="AC18" s="2">
        <f t="shared" si="3"/>
        <v>2486.1191208791206</v>
      </c>
      <c r="AD18" t="str">
        <f t="shared" si="4"/>
        <v>Home</v>
      </c>
      <c r="AE18" t="str">
        <f t="shared" si="11"/>
        <v>Home</v>
      </c>
      <c r="AF18" t="str" cm="1">
        <f t="array" ref="AF18">IF(OR(F18=0,F18="0"),   _xlfn.XLOOKUP(E18, _xlfn._xlws.FILTER(E:E, (F:F&lt;&gt;"0")*(F:F&lt;&gt;0)), _xlfn._xlws.FILTER(F:F, (F:F&lt;&gt;"0")*(F:F&lt;&gt;0)), ""),F18)</f>
        <v>Home</v>
      </c>
    </row>
    <row r="19" spans="1:32" x14ac:dyDescent="0.3">
      <c r="A19">
        <v>117</v>
      </c>
      <c r="B19" t="s">
        <v>70</v>
      </c>
      <c r="C19" t="s">
        <v>71</v>
      </c>
      <c r="D19" s="1">
        <v>45700</v>
      </c>
      <c r="E19" t="s">
        <v>13</v>
      </c>
      <c r="F19" t="s">
        <v>20</v>
      </c>
      <c r="G19" s="6">
        <f t="shared" si="0"/>
        <v>2</v>
      </c>
      <c r="H19" s="2">
        <v>10000</v>
      </c>
      <c r="I19" t="s">
        <v>15</v>
      </c>
      <c r="J19" t="s">
        <v>22</v>
      </c>
      <c r="K19" s="2">
        <v>20000</v>
      </c>
      <c r="L19" s="2"/>
      <c r="M19" s="2"/>
      <c r="N19"/>
      <c r="O19" s="5">
        <v>12</v>
      </c>
      <c r="P19">
        <v>2</v>
      </c>
      <c r="Q19">
        <v>2025</v>
      </c>
      <c r="R19" s="1">
        <f t="shared" si="1"/>
        <v>45700</v>
      </c>
      <c r="T19">
        <v>-2</v>
      </c>
      <c r="U19">
        <f t="shared" si="5"/>
        <v>-2</v>
      </c>
      <c r="V19">
        <f t="shared" si="6"/>
        <v>2</v>
      </c>
      <c r="W19">
        <f t="shared" si="7"/>
        <v>2</v>
      </c>
      <c r="X19">
        <f t="shared" si="8"/>
        <v>2</v>
      </c>
      <c r="Z19" s="6">
        <f t="shared" si="9"/>
        <v>2</v>
      </c>
      <c r="AA19">
        <f t="shared" si="2"/>
        <v>10000</v>
      </c>
      <c r="AB19" s="2">
        <f t="shared" si="10"/>
        <v>10000</v>
      </c>
      <c r="AC19" s="2">
        <f t="shared" si="3"/>
        <v>20000</v>
      </c>
      <c r="AD19" t="str">
        <f t="shared" si="4"/>
        <v>Electronics</v>
      </c>
      <c r="AE19" t="str">
        <f t="shared" si="11"/>
        <v>Electronics</v>
      </c>
      <c r="AF19" t="str" cm="1">
        <f t="array" ref="AF19">IF(OR(F19=0,F19="0"),   _xlfn.XLOOKUP(E19, _xlfn._xlws.FILTER(E:E, (F:F&lt;&gt;"0")*(F:F&lt;&gt;0)), _xlfn._xlws.FILTER(F:F, (F:F&lt;&gt;"0")*(F:F&lt;&gt;0)), ""),F19)</f>
        <v>Electronics</v>
      </c>
    </row>
    <row r="20" spans="1:32" x14ac:dyDescent="0.3">
      <c r="A20">
        <v>118</v>
      </c>
      <c r="B20" t="s">
        <v>72</v>
      </c>
      <c r="C20" t="s">
        <v>73</v>
      </c>
      <c r="D20" s="1">
        <v>45808</v>
      </c>
      <c r="E20" t="s">
        <v>30</v>
      </c>
      <c r="F20" t="s">
        <v>31</v>
      </c>
      <c r="G20" s="6">
        <f t="shared" si="0"/>
        <v>5</v>
      </c>
      <c r="H20" s="2">
        <v>247.82</v>
      </c>
      <c r="I20" t="s">
        <v>21</v>
      </c>
      <c r="J20" t="s">
        <v>22</v>
      </c>
      <c r="K20" s="2">
        <v>1239.0999999999999</v>
      </c>
      <c r="L20" s="2"/>
      <c r="M20" s="2"/>
      <c r="N20"/>
      <c r="O20" s="4">
        <v>31</v>
      </c>
      <c r="P20">
        <v>5</v>
      </c>
      <c r="Q20">
        <v>2025</v>
      </c>
      <c r="R20" s="1">
        <f t="shared" si="1"/>
        <v>45808</v>
      </c>
      <c r="T20">
        <v>5</v>
      </c>
      <c r="U20">
        <f t="shared" si="5"/>
        <v>5</v>
      </c>
      <c r="V20">
        <f t="shared" si="6"/>
        <v>5</v>
      </c>
      <c r="W20">
        <f t="shared" si="7"/>
        <v>5</v>
      </c>
      <c r="X20">
        <f t="shared" si="8"/>
        <v>5</v>
      </c>
      <c r="Z20" s="6">
        <f t="shared" si="9"/>
        <v>5</v>
      </c>
      <c r="AA20">
        <f t="shared" si="2"/>
        <v>247.82</v>
      </c>
      <c r="AB20" s="2">
        <f t="shared" si="10"/>
        <v>247.82</v>
      </c>
      <c r="AC20" s="2">
        <f t="shared" si="3"/>
        <v>1239.0999999999999</v>
      </c>
      <c r="AD20" t="str">
        <f t="shared" si="4"/>
        <v>Books</v>
      </c>
      <c r="AE20" t="str">
        <f t="shared" si="11"/>
        <v>Books</v>
      </c>
      <c r="AF20" t="str" cm="1">
        <f t="array" ref="AF20">IF(OR(F20=0,F20="0"),   _xlfn.XLOOKUP(E20, _xlfn._xlws.FILTER(E:E, (F:F&lt;&gt;"0")*(F:F&lt;&gt;0)), _xlfn._xlws.FILTER(F:F, (F:F&lt;&gt;"0")*(F:F&lt;&gt;0)), ""),F20)</f>
        <v>Books</v>
      </c>
    </row>
    <row r="21" spans="1:32" x14ac:dyDescent="0.3">
      <c r="A21">
        <v>119</v>
      </c>
      <c r="B21" t="s">
        <v>74</v>
      </c>
      <c r="C21" t="s">
        <v>75</v>
      </c>
      <c r="D21" s="1">
        <v>45645</v>
      </c>
      <c r="E21" t="s">
        <v>51</v>
      </c>
      <c r="F21" t="s">
        <v>26</v>
      </c>
      <c r="G21" s="6">
        <f t="shared" si="0"/>
        <v>4</v>
      </c>
      <c r="H21" s="2">
        <v>438.19</v>
      </c>
      <c r="I21" t="s">
        <v>15</v>
      </c>
      <c r="J21" t="s">
        <v>22</v>
      </c>
      <c r="K21" s="2">
        <v>1752.76</v>
      </c>
      <c r="L21" s="2"/>
      <c r="M21" s="2"/>
      <c r="N21"/>
      <c r="O21" s="5">
        <v>19</v>
      </c>
      <c r="P21">
        <v>12</v>
      </c>
      <c r="Q21">
        <v>2024</v>
      </c>
      <c r="R21" s="1">
        <f t="shared" si="1"/>
        <v>45645</v>
      </c>
      <c r="T21">
        <v>4</v>
      </c>
      <c r="U21">
        <f t="shared" si="5"/>
        <v>4</v>
      </c>
      <c r="V21">
        <f t="shared" si="6"/>
        <v>4</v>
      </c>
      <c r="W21">
        <f t="shared" si="7"/>
        <v>4</v>
      </c>
      <c r="X21">
        <f t="shared" si="8"/>
        <v>4</v>
      </c>
      <c r="Z21" s="6">
        <f t="shared" si="9"/>
        <v>4</v>
      </c>
      <c r="AA21">
        <f t="shared" si="2"/>
        <v>438.19</v>
      </c>
      <c r="AB21" s="2">
        <f t="shared" si="10"/>
        <v>438.19</v>
      </c>
      <c r="AC21" s="2">
        <f t="shared" si="3"/>
        <v>1752.76</v>
      </c>
      <c r="AD21" t="str">
        <f t="shared" si="4"/>
        <v>Sports</v>
      </c>
      <c r="AE21" t="str">
        <f t="shared" si="11"/>
        <v>Sports</v>
      </c>
      <c r="AF21" t="str" cm="1">
        <f t="array" ref="AF21">IF(OR(F21=0,F21="0"),   _xlfn.XLOOKUP(E21, _xlfn._xlws.FILTER(E:E, (F:F&lt;&gt;"0")*(F:F&lt;&gt;0)), _xlfn._xlws.FILTER(F:F, (F:F&lt;&gt;"0")*(F:F&lt;&gt;0)), ""),F21)</f>
        <v>Sports</v>
      </c>
    </row>
    <row r="22" spans="1:32" x14ac:dyDescent="0.3">
      <c r="A22">
        <v>120</v>
      </c>
      <c r="B22" t="s">
        <v>76</v>
      </c>
      <c r="C22" t="s">
        <v>77</v>
      </c>
      <c r="D22" s="1">
        <v>45821</v>
      </c>
      <c r="E22" t="s">
        <v>78</v>
      </c>
      <c r="F22" t="s">
        <v>20</v>
      </c>
      <c r="G22" s="6">
        <f t="shared" si="0"/>
        <v>5</v>
      </c>
      <c r="H22" s="2">
        <v>300</v>
      </c>
      <c r="I22" t="s">
        <v>48</v>
      </c>
      <c r="J22" t="s">
        <v>37</v>
      </c>
      <c r="K22" s="2">
        <v>1500</v>
      </c>
      <c r="L22" s="2"/>
      <c r="M22" s="2"/>
      <c r="N22"/>
      <c r="O22" s="4">
        <v>13</v>
      </c>
      <c r="P22">
        <v>6</v>
      </c>
      <c r="Q22">
        <v>2025</v>
      </c>
      <c r="R22" s="1">
        <f t="shared" si="1"/>
        <v>45821</v>
      </c>
      <c r="T22">
        <v>5</v>
      </c>
      <c r="U22">
        <f t="shared" si="5"/>
        <v>5</v>
      </c>
      <c r="V22">
        <f t="shared" si="6"/>
        <v>5</v>
      </c>
      <c r="W22">
        <f t="shared" si="7"/>
        <v>5</v>
      </c>
      <c r="X22">
        <f t="shared" si="8"/>
        <v>5</v>
      </c>
      <c r="Z22" s="6">
        <f t="shared" si="9"/>
        <v>5</v>
      </c>
      <c r="AA22">
        <f t="shared" si="2"/>
        <v>300</v>
      </c>
      <c r="AB22" s="2">
        <f t="shared" si="10"/>
        <v>300</v>
      </c>
      <c r="AC22" s="2">
        <f t="shared" si="3"/>
        <v>1500</v>
      </c>
      <c r="AD22" t="str">
        <f t="shared" si="4"/>
        <v>Electronics</v>
      </c>
      <c r="AE22" t="str">
        <f t="shared" si="11"/>
        <v>Electronics</v>
      </c>
      <c r="AF22" t="str" cm="1">
        <f t="array" ref="AF22">IF(OR(F22=0,F22="0"),   _xlfn.XLOOKUP(E22, _xlfn._xlws.FILTER(E:E, (F:F&lt;&gt;"0")*(F:F&lt;&gt;0)), _xlfn._xlws.FILTER(F:F, (F:F&lt;&gt;"0")*(F:F&lt;&gt;0)), ""),F22)</f>
        <v>Electronics</v>
      </c>
    </row>
    <row r="23" spans="1:32" x14ac:dyDescent="0.3">
      <c r="A23">
        <v>121</v>
      </c>
      <c r="B23" t="s">
        <v>79</v>
      </c>
      <c r="C23" t="s">
        <v>80</v>
      </c>
      <c r="D23" s="1">
        <v>45941</v>
      </c>
      <c r="E23" t="s">
        <v>51</v>
      </c>
      <c r="F23" t="s">
        <v>26</v>
      </c>
      <c r="G23" s="6">
        <f t="shared" si="0"/>
        <v>4</v>
      </c>
      <c r="H23" s="2">
        <v>523.01</v>
      </c>
      <c r="I23" t="s">
        <v>48</v>
      </c>
      <c r="J23" t="s">
        <v>27</v>
      </c>
      <c r="K23" s="2">
        <v>2092.04</v>
      </c>
      <c r="L23" s="2"/>
      <c r="M23" s="2"/>
      <c r="N23"/>
      <c r="O23" s="5">
        <v>11</v>
      </c>
      <c r="P23">
        <v>10</v>
      </c>
      <c r="Q23">
        <v>2025</v>
      </c>
      <c r="R23" s="1">
        <f t="shared" si="1"/>
        <v>45941</v>
      </c>
      <c r="T23">
        <v>4</v>
      </c>
      <c r="U23">
        <f t="shared" si="5"/>
        <v>4</v>
      </c>
      <c r="V23">
        <f t="shared" si="6"/>
        <v>4</v>
      </c>
      <c r="W23">
        <f t="shared" si="7"/>
        <v>4</v>
      </c>
      <c r="X23">
        <f t="shared" si="8"/>
        <v>4</v>
      </c>
      <c r="Z23" s="6">
        <f t="shared" si="9"/>
        <v>4</v>
      </c>
      <c r="AA23">
        <f t="shared" si="2"/>
        <v>523.01</v>
      </c>
      <c r="AB23" s="2">
        <f t="shared" si="10"/>
        <v>523.01</v>
      </c>
      <c r="AC23" s="2">
        <f t="shared" si="3"/>
        <v>2092.04</v>
      </c>
      <c r="AD23" t="str">
        <f t="shared" si="4"/>
        <v>Sports</v>
      </c>
      <c r="AE23" t="str">
        <f t="shared" si="11"/>
        <v>Sports</v>
      </c>
      <c r="AF23" t="str" cm="1">
        <f t="array" ref="AF23">IF(OR(F23=0,F23="0"),   _xlfn.XLOOKUP(E23, _xlfn._xlws.FILTER(E:E, (F:F&lt;&gt;"0")*(F:F&lt;&gt;0)), _xlfn._xlws.FILTER(F:F, (F:F&lt;&gt;"0")*(F:F&lt;&gt;0)), ""),F23)</f>
        <v>Sports</v>
      </c>
    </row>
    <row r="24" spans="1:32" x14ac:dyDescent="0.3">
      <c r="A24">
        <v>122</v>
      </c>
      <c r="B24" t="s">
        <v>81</v>
      </c>
      <c r="C24" t="s">
        <v>82</v>
      </c>
      <c r="D24" s="1">
        <v>45793</v>
      </c>
      <c r="E24" t="s">
        <v>69</v>
      </c>
      <c r="F24" t="s">
        <v>14</v>
      </c>
      <c r="G24" s="6">
        <f t="shared" si="0"/>
        <v>2</v>
      </c>
      <c r="H24" s="2">
        <v>556.92999999999995</v>
      </c>
      <c r="I24" t="s">
        <v>21</v>
      </c>
      <c r="J24" t="s">
        <v>16</v>
      </c>
      <c r="K24" s="2">
        <v>1113.8599999999999</v>
      </c>
      <c r="L24" s="2"/>
      <c r="M24" s="2"/>
      <c r="N24"/>
      <c r="O24" s="4">
        <v>16</v>
      </c>
      <c r="P24">
        <v>5</v>
      </c>
      <c r="Q24">
        <v>2025</v>
      </c>
      <c r="R24" s="1">
        <f t="shared" si="1"/>
        <v>45793</v>
      </c>
      <c r="T24">
        <v>2</v>
      </c>
      <c r="U24">
        <f t="shared" si="5"/>
        <v>2</v>
      </c>
      <c r="V24">
        <f t="shared" si="6"/>
        <v>2</v>
      </c>
      <c r="W24">
        <f t="shared" si="7"/>
        <v>2</v>
      </c>
      <c r="X24">
        <f t="shared" si="8"/>
        <v>2</v>
      </c>
      <c r="Z24" s="6">
        <f t="shared" si="9"/>
        <v>2</v>
      </c>
      <c r="AA24">
        <f t="shared" si="2"/>
        <v>556.92999999999995</v>
      </c>
      <c r="AB24" s="2">
        <f t="shared" si="10"/>
        <v>556.92999999999995</v>
      </c>
      <c r="AC24" s="2">
        <f t="shared" si="3"/>
        <v>1113.8599999999999</v>
      </c>
      <c r="AD24" t="str">
        <f t="shared" si="4"/>
        <v>Home</v>
      </c>
      <c r="AE24" t="str">
        <f t="shared" si="11"/>
        <v>Home</v>
      </c>
      <c r="AF24" t="str" cm="1">
        <f t="array" ref="AF24">IF(OR(F24=0,F24="0"),   _xlfn.XLOOKUP(E24, _xlfn._xlws.FILTER(E:E, (F:F&lt;&gt;"0")*(F:F&lt;&gt;0)), _xlfn._xlws.FILTER(F:F, (F:F&lt;&gt;"0")*(F:F&lt;&gt;0)), ""),F24)</f>
        <v>Home</v>
      </c>
    </row>
    <row r="25" spans="1:32" x14ac:dyDescent="0.3">
      <c r="A25">
        <v>123</v>
      </c>
      <c r="B25" t="s">
        <v>83</v>
      </c>
      <c r="C25" t="s">
        <v>84</v>
      </c>
      <c r="D25" s="1">
        <v>45936</v>
      </c>
      <c r="E25" t="s">
        <v>85</v>
      </c>
      <c r="F25" t="s">
        <v>20</v>
      </c>
      <c r="G25" s="6">
        <f t="shared" si="0"/>
        <v>3</v>
      </c>
      <c r="H25" s="2">
        <v>615.91</v>
      </c>
      <c r="I25" t="s">
        <v>15</v>
      </c>
      <c r="J25" t="s">
        <v>37</v>
      </c>
      <c r="K25" s="2">
        <v>1847.73</v>
      </c>
      <c r="L25" s="2"/>
      <c r="M25" s="2"/>
      <c r="N25"/>
      <c r="O25" s="5">
        <v>6</v>
      </c>
      <c r="P25">
        <v>10</v>
      </c>
      <c r="Q25">
        <v>2025</v>
      </c>
      <c r="R25" s="1">
        <f t="shared" si="1"/>
        <v>45936</v>
      </c>
      <c r="T25">
        <v>3</v>
      </c>
      <c r="U25">
        <f t="shared" si="5"/>
        <v>3</v>
      </c>
      <c r="V25">
        <f t="shared" si="6"/>
        <v>3</v>
      </c>
      <c r="W25">
        <f t="shared" si="7"/>
        <v>3</v>
      </c>
      <c r="X25">
        <f t="shared" si="8"/>
        <v>3</v>
      </c>
      <c r="Z25" s="6">
        <f t="shared" si="9"/>
        <v>3</v>
      </c>
      <c r="AA25">
        <f t="shared" si="2"/>
        <v>615.91</v>
      </c>
      <c r="AB25" s="2">
        <f t="shared" si="10"/>
        <v>615.91</v>
      </c>
      <c r="AC25" s="2">
        <f t="shared" si="3"/>
        <v>1847.73</v>
      </c>
      <c r="AD25" t="str">
        <f t="shared" si="4"/>
        <v>Electronics</v>
      </c>
      <c r="AE25" t="str">
        <f t="shared" si="11"/>
        <v>Electronics</v>
      </c>
      <c r="AF25" t="str" cm="1">
        <f t="array" ref="AF25">IF(OR(F25=0,F25="0"),   _xlfn.XLOOKUP(E25, _xlfn._xlws.FILTER(E:E, (F:F&lt;&gt;"0")*(F:F&lt;&gt;0)), _xlfn._xlws.FILTER(F:F, (F:F&lt;&gt;"0")*(F:F&lt;&gt;0)), ""),F25)</f>
        <v>Electronics</v>
      </c>
    </row>
    <row r="26" spans="1:32" x14ac:dyDescent="0.3">
      <c r="A26">
        <v>124</v>
      </c>
      <c r="B26" t="s">
        <v>86</v>
      </c>
      <c r="C26" t="s">
        <v>87</v>
      </c>
      <c r="D26" s="1">
        <v>45808</v>
      </c>
      <c r="E26" t="s">
        <v>54</v>
      </c>
      <c r="F26" t="s">
        <v>31</v>
      </c>
      <c r="G26" s="6">
        <f t="shared" si="0"/>
        <v>5</v>
      </c>
      <c r="H26" s="2">
        <v>621.52978021978015</v>
      </c>
      <c r="I26" t="s">
        <v>21</v>
      </c>
      <c r="J26" t="s">
        <v>37</v>
      </c>
      <c r="K26" s="2">
        <v>3107.6489010989008</v>
      </c>
      <c r="L26" s="2"/>
      <c r="M26" s="2"/>
      <c r="N26"/>
      <c r="O26" s="4">
        <v>31</v>
      </c>
      <c r="P26">
        <v>5</v>
      </c>
      <c r="Q26">
        <v>2025</v>
      </c>
      <c r="R26" s="1">
        <f t="shared" si="1"/>
        <v>45808</v>
      </c>
      <c r="T26">
        <v>5</v>
      </c>
      <c r="U26">
        <f t="shared" si="5"/>
        <v>5</v>
      </c>
      <c r="V26">
        <f t="shared" si="6"/>
        <v>5</v>
      </c>
      <c r="W26">
        <f t="shared" si="7"/>
        <v>5</v>
      </c>
      <c r="X26">
        <f t="shared" si="8"/>
        <v>5</v>
      </c>
      <c r="Z26" s="6">
        <f t="shared" si="9"/>
        <v>5</v>
      </c>
      <c r="AA26">
        <f t="shared" si="2"/>
        <v>621.52978021978004</v>
      </c>
      <c r="AB26" s="2">
        <f t="shared" si="10"/>
        <v>621.52978021978004</v>
      </c>
      <c r="AC26" s="2">
        <f t="shared" si="3"/>
        <v>3107.6489010989008</v>
      </c>
      <c r="AD26" t="str">
        <f t="shared" si="4"/>
        <v>Books</v>
      </c>
      <c r="AE26" t="str">
        <f t="shared" si="11"/>
        <v>Books</v>
      </c>
      <c r="AF26" t="str" cm="1">
        <f t="array" ref="AF26">IF(OR(F26=0,F26="0"),   _xlfn.XLOOKUP(E26, _xlfn._xlws.FILTER(E:E, (F:F&lt;&gt;"0")*(F:F&lt;&gt;0)), _xlfn._xlws.FILTER(F:F, (F:F&lt;&gt;"0")*(F:F&lt;&gt;0)), ""),F26)</f>
        <v>Books</v>
      </c>
    </row>
    <row r="27" spans="1:32" x14ac:dyDescent="0.3">
      <c r="A27">
        <v>125</v>
      </c>
      <c r="B27" t="s">
        <v>88</v>
      </c>
      <c r="C27" t="s">
        <v>89</v>
      </c>
      <c r="D27" s="1">
        <v>45697</v>
      </c>
      <c r="E27" t="s">
        <v>54</v>
      </c>
      <c r="F27" t="s">
        <v>31</v>
      </c>
      <c r="G27" s="6">
        <f t="shared" si="0"/>
        <v>4</v>
      </c>
      <c r="H27" s="2">
        <v>765.69</v>
      </c>
      <c r="I27" t="s">
        <v>21</v>
      </c>
      <c r="J27" t="s">
        <v>16</v>
      </c>
      <c r="K27" s="2">
        <v>3062.76</v>
      </c>
      <c r="L27" s="2"/>
      <c r="M27" s="2"/>
      <c r="N27"/>
      <c r="O27" s="5">
        <v>9</v>
      </c>
      <c r="P27">
        <v>2</v>
      </c>
      <c r="Q27">
        <v>2025</v>
      </c>
      <c r="R27" s="1">
        <f t="shared" si="1"/>
        <v>45697</v>
      </c>
      <c r="T27">
        <v>4</v>
      </c>
      <c r="U27">
        <f t="shared" si="5"/>
        <v>4</v>
      </c>
      <c r="V27">
        <f t="shared" si="6"/>
        <v>4</v>
      </c>
      <c r="W27">
        <f t="shared" si="7"/>
        <v>4</v>
      </c>
      <c r="X27">
        <f t="shared" si="8"/>
        <v>4</v>
      </c>
      <c r="Z27" s="6">
        <f t="shared" si="9"/>
        <v>4</v>
      </c>
      <c r="AA27">
        <f t="shared" si="2"/>
        <v>765.69</v>
      </c>
      <c r="AB27" s="2">
        <f t="shared" si="10"/>
        <v>765.69</v>
      </c>
      <c r="AC27" s="2">
        <f t="shared" si="3"/>
        <v>3062.76</v>
      </c>
      <c r="AD27" t="str">
        <f t="shared" si="4"/>
        <v>Books</v>
      </c>
      <c r="AE27" t="str">
        <f t="shared" si="11"/>
        <v>Books</v>
      </c>
      <c r="AF27" t="str" cm="1">
        <f t="array" ref="AF27">IF(OR(F27=0,F27="0"),   _xlfn.XLOOKUP(E27, _xlfn._xlws.FILTER(E:E, (F:F&lt;&gt;"0")*(F:F&lt;&gt;0)), _xlfn._xlws.FILTER(F:F, (F:F&lt;&gt;"0")*(F:F&lt;&gt;0)), ""),F27)</f>
        <v>Books</v>
      </c>
    </row>
    <row r="28" spans="1:32" x14ac:dyDescent="0.3">
      <c r="A28">
        <v>126</v>
      </c>
      <c r="B28" t="s">
        <v>90</v>
      </c>
      <c r="C28" t="s">
        <v>91</v>
      </c>
      <c r="D28" s="1">
        <v>45795</v>
      </c>
      <c r="E28" t="s">
        <v>57</v>
      </c>
      <c r="F28" t="s">
        <v>58</v>
      </c>
      <c r="G28" s="6">
        <f t="shared" si="0"/>
        <v>4</v>
      </c>
      <c r="H28" s="2">
        <v>836.8</v>
      </c>
      <c r="I28" t="s">
        <v>40</v>
      </c>
      <c r="J28" t="s">
        <v>37</v>
      </c>
      <c r="K28" s="2">
        <v>3347.2</v>
      </c>
      <c r="L28" s="2"/>
      <c r="M28" s="2"/>
      <c r="N28"/>
      <c r="O28" s="4">
        <v>18</v>
      </c>
      <c r="P28">
        <v>5</v>
      </c>
      <c r="Q28">
        <v>2025</v>
      </c>
      <c r="R28" s="1">
        <f t="shared" si="1"/>
        <v>45795</v>
      </c>
      <c r="T28">
        <v>4</v>
      </c>
      <c r="U28">
        <f t="shared" si="5"/>
        <v>4</v>
      </c>
      <c r="V28">
        <f t="shared" si="6"/>
        <v>4</v>
      </c>
      <c r="W28">
        <f t="shared" si="7"/>
        <v>4</v>
      </c>
      <c r="X28">
        <f t="shared" si="8"/>
        <v>4</v>
      </c>
      <c r="Z28" s="6">
        <f t="shared" si="9"/>
        <v>4</v>
      </c>
      <c r="AA28">
        <f t="shared" si="2"/>
        <v>836.8</v>
      </c>
      <c r="AB28" s="2">
        <f t="shared" si="10"/>
        <v>836.8</v>
      </c>
      <c r="AC28" s="2">
        <f t="shared" si="3"/>
        <v>3347.2</v>
      </c>
      <c r="AD28" t="str">
        <f t="shared" si="4"/>
        <v>Clothing</v>
      </c>
      <c r="AE28" t="str">
        <f t="shared" si="11"/>
        <v>Clothing</v>
      </c>
      <c r="AF28" t="str" cm="1">
        <f t="array" ref="AF28">IF(OR(F28=0,F28="0"),   _xlfn.XLOOKUP(E28, _xlfn._xlws.FILTER(E:E, (F:F&lt;&gt;"0")*(F:F&lt;&gt;0)), _xlfn._xlws.FILTER(F:F, (F:F&lt;&gt;"0")*(F:F&lt;&gt;0)), ""),F28)</f>
        <v>Clothing</v>
      </c>
    </row>
    <row r="29" spans="1:32" x14ac:dyDescent="0.3">
      <c r="A29">
        <v>127</v>
      </c>
      <c r="B29" t="s">
        <v>92</v>
      </c>
      <c r="C29" t="s">
        <v>93</v>
      </c>
      <c r="D29" s="1">
        <v>45789</v>
      </c>
      <c r="E29" t="s">
        <v>13</v>
      </c>
      <c r="F29" t="s">
        <v>14</v>
      </c>
      <c r="G29" s="6">
        <f t="shared" si="0"/>
        <v>5</v>
      </c>
      <c r="H29" s="2">
        <v>336.02</v>
      </c>
      <c r="I29" t="s">
        <v>40</v>
      </c>
      <c r="J29" t="s">
        <v>43</v>
      </c>
      <c r="K29" s="2">
        <v>1680.1</v>
      </c>
      <c r="L29" s="2"/>
      <c r="M29" s="2"/>
      <c r="N29"/>
      <c r="O29" s="5">
        <v>12</v>
      </c>
      <c r="P29">
        <v>5</v>
      </c>
      <c r="Q29">
        <v>2025</v>
      </c>
      <c r="R29" s="1">
        <f t="shared" si="1"/>
        <v>45789</v>
      </c>
      <c r="T29">
        <v>5</v>
      </c>
      <c r="U29">
        <f t="shared" si="5"/>
        <v>5</v>
      </c>
      <c r="V29">
        <f t="shared" si="6"/>
        <v>5</v>
      </c>
      <c r="W29">
        <f t="shared" si="7"/>
        <v>5</v>
      </c>
      <c r="X29">
        <f t="shared" si="8"/>
        <v>5</v>
      </c>
      <c r="Z29" s="6">
        <f t="shared" si="9"/>
        <v>5</v>
      </c>
      <c r="AA29">
        <f t="shared" si="2"/>
        <v>336.02</v>
      </c>
      <c r="AB29" s="2">
        <f t="shared" si="10"/>
        <v>336.02</v>
      </c>
      <c r="AC29" s="2">
        <f t="shared" si="3"/>
        <v>1680.1</v>
      </c>
      <c r="AD29" t="str">
        <f t="shared" si="4"/>
        <v>Home</v>
      </c>
      <c r="AE29" t="str">
        <f t="shared" si="11"/>
        <v>Home</v>
      </c>
      <c r="AF29" t="str" cm="1">
        <f t="array" ref="AF29">IF(OR(F29=0,F29="0"),   _xlfn.XLOOKUP(E29, _xlfn._xlws.FILTER(E:E, (F:F&lt;&gt;"0")*(F:F&lt;&gt;0)), _xlfn._xlws.FILTER(F:F, (F:F&lt;&gt;"0")*(F:F&lt;&gt;0)), ""),F29)</f>
        <v>Home</v>
      </c>
    </row>
    <row r="30" spans="1:32" x14ac:dyDescent="0.3">
      <c r="A30">
        <v>128</v>
      </c>
      <c r="B30" t="s">
        <v>94</v>
      </c>
      <c r="C30" t="s">
        <v>95</v>
      </c>
      <c r="D30" s="1">
        <v>45606</v>
      </c>
      <c r="E30" t="s">
        <v>96</v>
      </c>
      <c r="F30" t="s">
        <v>20</v>
      </c>
      <c r="G30" s="6">
        <f t="shared" si="0"/>
        <v>3</v>
      </c>
      <c r="H30" s="2">
        <v>898.69</v>
      </c>
      <c r="I30" t="s">
        <v>40</v>
      </c>
      <c r="J30" t="s">
        <v>27</v>
      </c>
      <c r="K30" s="2">
        <v>2696.07</v>
      </c>
      <c r="L30" s="2"/>
      <c r="M30" s="2"/>
      <c r="N30"/>
      <c r="O30" s="4">
        <v>10</v>
      </c>
      <c r="P30">
        <v>11</v>
      </c>
      <c r="Q30">
        <v>2024</v>
      </c>
      <c r="R30" s="1">
        <f t="shared" si="1"/>
        <v>45606</v>
      </c>
      <c r="T30">
        <v>3</v>
      </c>
      <c r="U30">
        <f t="shared" si="5"/>
        <v>3</v>
      </c>
      <c r="V30">
        <f t="shared" si="6"/>
        <v>3</v>
      </c>
      <c r="W30">
        <f t="shared" si="7"/>
        <v>3</v>
      </c>
      <c r="X30">
        <f t="shared" si="8"/>
        <v>3</v>
      </c>
      <c r="Z30" s="6">
        <f t="shared" si="9"/>
        <v>3</v>
      </c>
      <c r="AA30">
        <f t="shared" si="2"/>
        <v>898.69</v>
      </c>
      <c r="AB30" s="2">
        <f t="shared" si="10"/>
        <v>898.69</v>
      </c>
      <c r="AC30" s="2">
        <f t="shared" si="3"/>
        <v>2696.07</v>
      </c>
      <c r="AD30" t="str">
        <f t="shared" si="4"/>
        <v>Electronics</v>
      </c>
      <c r="AE30" t="str">
        <f t="shared" si="11"/>
        <v>Electronics</v>
      </c>
      <c r="AF30" t="str" cm="1">
        <f t="array" ref="AF30">IF(OR(F30=0,F30="0"),   _xlfn.XLOOKUP(E30, _xlfn._xlws.FILTER(E:E, (F:F&lt;&gt;"0")*(F:F&lt;&gt;0)), _xlfn._xlws.FILTER(F:F, (F:F&lt;&gt;"0")*(F:F&lt;&gt;0)), ""),F30)</f>
        <v>Electronics</v>
      </c>
    </row>
    <row r="31" spans="1:32" x14ac:dyDescent="0.3">
      <c r="A31">
        <v>129</v>
      </c>
      <c r="B31" t="s">
        <v>97</v>
      </c>
      <c r="C31" t="s">
        <v>98</v>
      </c>
      <c r="D31" s="1">
        <v>45830</v>
      </c>
      <c r="E31" t="s">
        <v>30</v>
      </c>
      <c r="F31" t="s">
        <v>31</v>
      </c>
      <c r="G31" s="6">
        <f t="shared" si="0"/>
        <v>4</v>
      </c>
      <c r="H31" s="2">
        <v>736.71</v>
      </c>
      <c r="I31" t="s">
        <v>40</v>
      </c>
      <c r="J31" t="s">
        <v>43</v>
      </c>
      <c r="K31" s="2">
        <v>2946.84</v>
      </c>
      <c r="L31" s="2"/>
      <c r="M31" s="2"/>
      <c r="N31"/>
      <c r="O31" s="5">
        <v>22</v>
      </c>
      <c r="P31">
        <v>6</v>
      </c>
      <c r="Q31">
        <v>2025</v>
      </c>
      <c r="R31" s="1">
        <f t="shared" si="1"/>
        <v>45830</v>
      </c>
      <c r="T31">
        <v>4</v>
      </c>
      <c r="U31">
        <f t="shared" si="5"/>
        <v>4</v>
      </c>
      <c r="V31">
        <f t="shared" si="6"/>
        <v>4</v>
      </c>
      <c r="W31">
        <f t="shared" si="7"/>
        <v>4</v>
      </c>
      <c r="X31">
        <f t="shared" si="8"/>
        <v>4</v>
      </c>
      <c r="Z31" s="6">
        <f t="shared" si="9"/>
        <v>4</v>
      </c>
      <c r="AA31">
        <f t="shared" si="2"/>
        <v>736.71</v>
      </c>
      <c r="AB31" s="2">
        <f t="shared" si="10"/>
        <v>736.71</v>
      </c>
      <c r="AC31" s="2">
        <f t="shared" si="3"/>
        <v>2946.84</v>
      </c>
      <c r="AD31" t="str">
        <f t="shared" si="4"/>
        <v>Books</v>
      </c>
      <c r="AE31" t="str">
        <f t="shared" si="11"/>
        <v>Books</v>
      </c>
      <c r="AF31" t="str" cm="1">
        <f t="array" ref="AF31">IF(OR(F31=0,F31="0"),   _xlfn.XLOOKUP(E31, _xlfn._xlws.FILTER(E:E, (F:F&lt;&gt;"0")*(F:F&lt;&gt;0)), _xlfn._xlws.FILTER(F:F, (F:F&lt;&gt;"0")*(F:F&lt;&gt;0)), ""),F31)</f>
        <v>Books</v>
      </c>
    </row>
    <row r="32" spans="1:32" x14ac:dyDescent="0.3">
      <c r="A32">
        <v>130</v>
      </c>
      <c r="B32" t="s">
        <v>99</v>
      </c>
      <c r="C32" t="s">
        <v>100</v>
      </c>
      <c r="D32" s="1">
        <v>45884</v>
      </c>
      <c r="E32" t="s">
        <v>25</v>
      </c>
      <c r="F32" t="s">
        <v>26</v>
      </c>
      <c r="G32" s="6">
        <f t="shared" si="0"/>
        <v>2</v>
      </c>
      <c r="H32" s="2">
        <v>621.52978021978015</v>
      </c>
      <c r="I32" t="s">
        <v>40</v>
      </c>
      <c r="J32" t="s">
        <v>22</v>
      </c>
      <c r="K32" s="2">
        <v>1243.0595604395603</v>
      </c>
      <c r="L32" s="2"/>
      <c r="M32" s="2"/>
      <c r="N32"/>
      <c r="O32" s="4">
        <v>15</v>
      </c>
      <c r="P32">
        <v>8</v>
      </c>
      <c r="Q32">
        <v>2025</v>
      </c>
      <c r="R32" s="1">
        <f t="shared" si="1"/>
        <v>45884</v>
      </c>
      <c r="T32">
        <v>2</v>
      </c>
      <c r="U32">
        <f t="shared" si="5"/>
        <v>2</v>
      </c>
      <c r="V32">
        <f t="shared" si="6"/>
        <v>2</v>
      </c>
      <c r="W32">
        <f t="shared" si="7"/>
        <v>2</v>
      </c>
      <c r="X32">
        <f t="shared" si="8"/>
        <v>2</v>
      </c>
      <c r="Z32" s="6">
        <f t="shared" si="9"/>
        <v>2</v>
      </c>
      <c r="AA32">
        <f t="shared" si="2"/>
        <v>621.52978021978004</v>
      </c>
      <c r="AB32" s="2">
        <f t="shared" si="10"/>
        <v>621.52978021978004</v>
      </c>
      <c r="AC32" s="2">
        <f t="shared" si="3"/>
        <v>1243.0595604395603</v>
      </c>
      <c r="AD32" t="str">
        <f t="shared" si="4"/>
        <v>Sports</v>
      </c>
      <c r="AE32" t="str">
        <f t="shared" si="11"/>
        <v>Sports</v>
      </c>
      <c r="AF32" t="str" cm="1">
        <f t="array" ref="AF32">IF(OR(F32=0,F32="0"),   _xlfn.XLOOKUP(E32, _xlfn._xlws.FILTER(E:E, (F:F&lt;&gt;"0")*(F:F&lt;&gt;0)), _xlfn._xlws.FILTER(F:F, (F:F&lt;&gt;"0")*(F:F&lt;&gt;0)), ""),F32)</f>
        <v>Sports</v>
      </c>
    </row>
    <row r="33" spans="1:32" x14ac:dyDescent="0.3">
      <c r="A33">
        <v>131</v>
      </c>
      <c r="B33" t="s">
        <v>101</v>
      </c>
      <c r="C33" t="s">
        <v>102</v>
      </c>
      <c r="D33" s="1">
        <v>45819</v>
      </c>
      <c r="E33" t="s">
        <v>96</v>
      </c>
      <c r="F33" t="s">
        <v>14</v>
      </c>
      <c r="G33" s="6">
        <f t="shared" si="0"/>
        <v>5</v>
      </c>
      <c r="H33" s="2">
        <v>616.63</v>
      </c>
      <c r="I33" t="s">
        <v>21</v>
      </c>
      <c r="J33" t="s">
        <v>16</v>
      </c>
      <c r="K33" s="2">
        <v>3083.15</v>
      </c>
      <c r="L33" s="2"/>
      <c r="M33" s="2"/>
      <c r="N33"/>
      <c r="O33" s="5">
        <v>11</v>
      </c>
      <c r="P33">
        <v>6</v>
      </c>
      <c r="Q33">
        <v>2025</v>
      </c>
      <c r="R33" s="1">
        <f t="shared" si="1"/>
        <v>45819</v>
      </c>
      <c r="T33">
        <v>5</v>
      </c>
      <c r="U33">
        <f t="shared" si="5"/>
        <v>5</v>
      </c>
      <c r="V33">
        <f t="shared" si="6"/>
        <v>5</v>
      </c>
      <c r="W33">
        <f t="shared" si="7"/>
        <v>5</v>
      </c>
      <c r="X33">
        <f t="shared" si="8"/>
        <v>5</v>
      </c>
      <c r="Z33" s="6">
        <f t="shared" si="9"/>
        <v>5</v>
      </c>
      <c r="AA33">
        <f t="shared" si="2"/>
        <v>616.63</v>
      </c>
      <c r="AB33" s="2">
        <f t="shared" si="10"/>
        <v>616.63</v>
      </c>
      <c r="AC33" s="2">
        <f t="shared" si="3"/>
        <v>3083.15</v>
      </c>
      <c r="AD33" t="str">
        <f t="shared" si="4"/>
        <v>Home</v>
      </c>
      <c r="AE33" t="str">
        <f t="shared" si="11"/>
        <v>Home</v>
      </c>
      <c r="AF33" t="str" cm="1">
        <f t="array" ref="AF33">IF(OR(F33=0,F33="0"),   _xlfn.XLOOKUP(E33, _xlfn._xlws.FILTER(E:E, (F:F&lt;&gt;"0")*(F:F&lt;&gt;0)), _xlfn._xlws.FILTER(F:F, (F:F&lt;&gt;"0")*(F:F&lt;&gt;0)), ""),F33)</f>
        <v>Home</v>
      </c>
    </row>
    <row r="34" spans="1:32" x14ac:dyDescent="0.3">
      <c r="A34">
        <v>132</v>
      </c>
      <c r="B34" t="s">
        <v>103</v>
      </c>
      <c r="C34" t="s">
        <v>104</v>
      </c>
      <c r="D34" s="1">
        <v>45749</v>
      </c>
      <c r="E34" t="s">
        <v>78</v>
      </c>
      <c r="F34" t="s">
        <v>20</v>
      </c>
      <c r="G34" s="6">
        <f t="shared" ref="G34:G65" si="12">IF(OR(W34="",W34=0),AVERAGEIF(W:W,"&gt;0"),W34)</f>
        <v>1</v>
      </c>
      <c r="H34" s="2">
        <v>266.7</v>
      </c>
      <c r="I34" t="s">
        <v>21</v>
      </c>
      <c r="J34" t="s">
        <v>27</v>
      </c>
      <c r="K34" s="2">
        <v>266.7</v>
      </c>
      <c r="L34" s="2"/>
      <c r="M34" s="2"/>
      <c r="N34"/>
      <c r="O34" s="4">
        <v>2</v>
      </c>
      <c r="P34">
        <v>4</v>
      </c>
      <c r="Q34">
        <v>2025</v>
      </c>
      <c r="R34" s="1">
        <f t="shared" ref="R34:R65" si="13">IFERROR(DATE(Q34,P34,DAY(O34)),DATEVALUE(O34))</f>
        <v>45749</v>
      </c>
      <c r="T34">
        <v>1</v>
      </c>
      <c r="U34">
        <f t="shared" si="5"/>
        <v>1</v>
      </c>
      <c r="V34">
        <f t="shared" si="6"/>
        <v>1</v>
      </c>
      <c r="W34">
        <f t="shared" si="7"/>
        <v>1</v>
      </c>
      <c r="X34">
        <f t="shared" si="8"/>
        <v>1</v>
      </c>
      <c r="Z34" s="6">
        <f t="shared" si="9"/>
        <v>1</v>
      </c>
      <c r="AA34">
        <f t="shared" ref="AA34:AA65" si="14">IFERROR(IF(VALUE(SUBSTITUTE(SUBSTITUTE(SUBSTITUTE(SUBSTITUTE(H34,"₹",""),"$",""),",","")," ",""))&lt;0,"",VALUE(SUBSTITUTE(SUBSTITUTE(SUBSTITUTE(SUBSTITUTE(H34,"₹",""),"$",""),",","")," ",""))),"")</f>
        <v>266.7</v>
      </c>
      <c r="AB34" s="2">
        <f t="shared" si="10"/>
        <v>266.7</v>
      </c>
      <c r="AC34" s="2">
        <f t="shared" ref="AC34:AC65" si="15">G34*H34</f>
        <v>266.7</v>
      </c>
      <c r="AD34" t="str">
        <f t="shared" ref="AD34:AD65" si="16">IF(F34&lt;&gt;"", F34, _xlfn.XLOOKUP(E34, E:E, F:F, ""))</f>
        <v>Electronics</v>
      </c>
      <c r="AE34" t="str">
        <f t="shared" si="11"/>
        <v>Electronics</v>
      </c>
      <c r="AF34" t="str" cm="1">
        <f t="array" ref="AF34">IF(OR(F34=0,F34="0"),   _xlfn.XLOOKUP(E34, _xlfn._xlws.FILTER(E:E, (F:F&lt;&gt;"0")*(F:F&lt;&gt;0)), _xlfn._xlws.FILTER(F:F, (F:F&lt;&gt;"0")*(F:F&lt;&gt;0)), ""),F34)</f>
        <v>Electronics</v>
      </c>
    </row>
    <row r="35" spans="1:32" x14ac:dyDescent="0.3">
      <c r="A35">
        <v>133</v>
      </c>
      <c r="B35" t="s">
        <v>105</v>
      </c>
      <c r="C35" t="s">
        <v>106</v>
      </c>
      <c r="D35" s="1">
        <v>45631</v>
      </c>
      <c r="E35" t="s">
        <v>34</v>
      </c>
      <c r="F35" t="s">
        <v>31</v>
      </c>
      <c r="G35" s="6">
        <f t="shared" si="12"/>
        <v>5</v>
      </c>
      <c r="H35" s="2">
        <v>343.24</v>
      </c>
      <c r="I35" t="s">
        <v>48</v>
      </c>
      <c r="J35" t="s">
        <v>16</v>
      </c>
      <c r="K35" s="2">
        <v>1716.2</v>
      </c>
      <c r="L35" s="2"/>
      <c r="M35" s="2"/>
      <c r="N35"/>
      <c r="O35" s="5">
        <v>5</v>
      </c>
      <c r="P35">
        <v>12</v>
      </c>
      <c r="Q35">
        <v>2024</v>
      </c>
      <c r="R35" s="1">
        <f t="shared" si="13"/>
        <v>45631</v>
      </c>
      <c r="T35">
        <v>5</v>
      </c>
      <c r="U35">
        <f t="shared" si="5"/>
        <v>5</v>
      </c>
      <c r="V35">
        <f t="shared" si="6"/>
        <v>5</v>
      </c>
      <c r="W35">
        <f t="shared" si="7"/>
        <v>5</v>
      </c>
      <c r="X35">
        <f t="shared" si="8"/>
        <v>5</v>
      </c>
      <c r="Z35" s="6">
        <f t="shared" si="9"/>
        <v>5</v>
      </c>
      <c r="AA35">
        <f t="shared" si="14"/>
        <v>343.24</v>
      </c>
      <c r="AB35" s="2">
        <f t="shared" si="10"/>
        <v>343.24</v>
      </c>
      <c r="AC35" s="2">
        <f t="shared" si="15"/>
        <v>1716.2</v>
      </c>
      <c r="AD35" t="str">
        <f t="shared" si="16"/>
        <v>Books</v>
      </c>
      <c r="AE35" t="str">
        <f t="shared" si="11"/>
        <v>Books</v>
      </c>
      <c r="AF35" t="str" cm="1">
        <f t="array" ref="AF35">IF(OR(F35=0,F35="0"),   _xlfn.XLOOKUP(E35, _xlfn._xlws.FILTER(E:E, (F:F&lt;&gt;"0")*(F:F&lt;&gt;0)), _xlfn._xlws.FILTER(F:F, (F:F&lt;&gt;"0")*(F:F&lt;&gt;0)), ""),F35)</f>
        <v>Books</v>
      </c>
    </row>
    <row r="36" spans="1:32" x14ac:dyDescent="0.3">
      <c r="A36">
        <v>134</v>
      </c>
      <c r="B36" t="s">
        <v>107</v>
      </c>
      <c r="C36" t="s">
        <v>108</v>
      </c>
      <c r="D36" s="1">
        <v>45934</v>
      </c>
      <c r="E36" t="s">
        <v>109</v>
      </c>
      <c r="F36" t="s">
        <v>58</v>
      </c>
      <c r="G36" s="6">
        <f t="shared" si="12"/>
        <v>5</v>
      </c>
      <c r="H36" s="2">
        <v>591.53</v>
      </c>
      <c r="I36" t="s">
        <v>21</v>
      </c>
      <c r="J36" t="s">
        <v>16</v>
      </c>
      <c r="K36" s="2">
        <v>2957.6499999999996</v>
      </c>
      <c r="L36" s="2"/>
      <c r="M36" s="2"/>
      <c r="N36"/>
      <c r="O36" s="4">
        <v>4</v>
      </c>
      <c r="P36">
        <v>10</v>
      </c>
      <c r="Q36">
        <v>2025</v>
      </c>
      <c r="R36" s="1">
        <f t="shared" si="13"/>
        <v>45934</v>
      </c>
      <c r="T36">
        <v>-5</v>
      </c>
      <c r="U36">
        <f t="shared" si="5"/>
        <v>-5</v>
      </c>
      <c r="V36">
        <f t="shared" si="6"/>
        <v>5</v>
      </c>
      <c r="W36">
        <f t="shared" si="7"/>
        <v>5</v>
      </c>
      <c r="X36">
        <f t="shared" si="8"/>
        <v>5</v>
      </c>
      <c r="Z36" s="6">
        <f t="shared" si="9"/>
        <v>5</v>
      </c>
      <c r="AA36">
        <f t="shared" si="14"/>
        <v>591.53</v>
      </c>
      <c r="AB36" s="2">
        <f t="shared" si="10"/>
        <v>591.53</v>
      </c>
      <c r="AC36" s="2">
        <f t="shared" si="15"/>
        <v>2957.6499999999996</v>
      </c>
      <c r="AD36" t="str">
        <f t="shared" si="16"/>
        <v>Clothing</v>
      </c>
      <c r="AE36" t="str">
        <f t="shared" si="11"/>
        <v>Clothing</v>
      </c>
      <c r="AF36" t="str" cm="1">
        <f t="array" ref="AF36">IF(OR(F36=0,F36="0"),   _xlfn.XLOOKUP(E36, _xlfn._xlws.FILTER(E:E, (F:F&lt;&gt;"0")*(F:F&lt;&gt;0)), _xlfn._xlws.FILTER(F:F, (F:F&lt;&gt;"0")*(F:F&lt;&gt;0)), ""),F36)</f>
        <v>Clothing</v>
      </c>
    </row>
    <row r="37" spans="1:32" x14ac:dyDescent="0.3">
      <c r="A37">
        <v>135</v>
      </c>
      <c r="B37" t="s">
        <v>110</v>
      </c>
      <c r="C37" t="s">
        <v>111</v>
      </c>
      <c r="D37" s="1">
        <v>45697</v>
      </c>
      <c r="E37" t="s">
        <v>112</v>
      </c>
      <c r="F37" t="s">
        <v>20</v>
      </c>
      <c r="G37" s="6">
        <f t="shared" si="12"/>
        <v>4</v>
      </c>
      <c r="H37" s="2">
        <v>446.19</v>
      </c>
      <c r="I37" t="s">
        <v>15</v>
      </c>
      <c r="J37" t="s">
        <v>37</v>
      </c>
      <c r="K37" s="2">
        <v>1784.76</v>
      </c>
      <c r="L37" s="2"/>
      <c r="M37" s="2"/>
      <c r="N37"/>
      <c r="O37" s="5">
        <v>9</v>
      </c>
      <c r="P37">
        <v>2</v>
      </c>
      <c r="Q37">
        <v>2025</v>
      </c>
      <c r="R37" s="1">
        <f t="shared" si="13"/>
        <v>45697</v>
      </c>
      <c r="T37">
        <v>4</v>
      </c>
      <c r="U37">
        <f t="shared" si="5"/>
        <v>4</v>
      </c>
      <c r="V37">
        <f t="shared" si="6"/>
        <v>4</v>
      </c>
      <c r="W37">
        <f t="shared" si="7"/>
        <v>4</v>
      </c>
      <c r="X37">
        <f t="shared" si="8"/>
        <v>4</v>
      </c>
      <c r="Z37" s="6">
        <f t="shared" si="9"/>
        <v>4</v>
      </c>
      <c r="AA37">
        <f t="shared" si="14"/>
        <v>446.19</v>
      </c>
      <c r="AB37" s="2">
        <f t="shared" si="10"/>
        <v>446.19</v>
      </c>
      <c r="AC37" s="2">
        <f t="shared" si="15"/>
        <v>1784.76</v>
      </c>
      <c r="AD37" t="str">
        <f t="shared" si="16"/>
        <v>Electronics</v>
      </c>
      <c r="AE37" t="str">
        <f t="shared" si="11"/>
        <v>Electronics</v>
      </c>
      <c r="AF37" t="str" cm="1">
        <f t="array" ref="AF37">IF(OR(F37=0,F37="0"),   _xlfn.XLOOKUP(E37, _xlfn._xlws.FILTER(E:E, (F:F&lt;&gt;"0")*(F:F&lt;&gt;0)), _xlfn._xlws.FILTER(F:F, (F:F&lt;&gt;"0")*(F:F&lt;&gt;0)), ""),F37)</f>
        <v>Electronics</v>
      </c>
    </row>
    <row r="38" spans="1:32" x14ac:dyDescent="0.3">
      <c r="A38">
        <v>136</v>
      </c>
      <c r="B38" t="s">
        <v>113</v>
      </c>
      <c r="C38" t="s">
        <v>114</v>
      </c>
      <c r="D38" s="1">
        <v>45820</v>
      </c>
      <c r="E38" t="s">
        <v>115</v>
      </c>
      <c r="F38" t="s">
        <v>20</v>
      </c>
      <c r="G38" s="6">
        <f t="shared" si="12"/>
        <v>1</v>
      </c>
      <c r="H38" s="2">
        <v>696.71</v>
      </c>
      <c r="I38" t="s">
        <v>48</v>
      </c>
      <c r="J38" t="s">
        <v>27</v>
      </c>
      <c r="K38" s="2">
        <v>696.71</v>
      </c>
      <c r="L38" s="2"/>
      <c r="M38" s="2"/>
      <c r="N38"/>
      <c r="O38" s="4">
        <v>12</v>
      </c>
      <c r="P38">
        <v>6</v>
      </c>
      <c r="Q38">
        <v>2025</v>
      </c>
      <c r="R38" s="1">
        <f t="shared" si="13"/>
        <v>45820</v>
      </c>
      <c r="T38">
        <v>1</v>
      </c>
      <c r="U38">
        <f t="shared" si="5"/>
        <v>1</v>
      </c>
      <c r="V38">
        <f t="shared" si="6"/>
        <v>1</v>
      </c>
      <c r="W38">
        <f t="shared" si="7"/>
        <v>1</v>
      </c>
      <c r="X38">
        <f t="shared" si="8"/>
        <v>1</v>
      </c>
      <c r="Z38" s="6">
        <f t="shared" si="9"/>
        <v>1</v>
      </c>
      <c r="AA38">
        <f t="shared" si="14"/>
        <v>696.71</v>
      </c>
      <c r="AB38" s="2">
        <f t="shared" si="10"/>
        <v>696.71</v>
      </c>
      <c r="AC38" s="2">
        <f t="shared" si="15"/>
        <v>696.71</v>
      </c>
      <c r="AD38" t="str">
        <f t="shared" si="16"/>
        <v>Electronics</v>
      </c>
      <c r="AE38" t="str">
        <f t="shared" si="11"/>
        <v>Electronics</v>
      </c>
      <c r="AF38" t="str" cm="1">
        <f t="array" ref="AF38">IF(OR(F38=0,F38="0"),   _xlfn.XLOOKUP(E38, _xlfn._xlws.FILTER(E:E, (F:F&lt;&gt;"0")*(F:F&lt;&gt;0)), _xlfn._xlws.FILTER(F:F, (F:F&lt;&gt;"0")*(F:F&lt;&gt;0)), ""),F38)</f>
        <v>Electronics</v>
      </c>
    </row>
    <row r="39" spans="1:32" x14ac:dyDescent="0.3">
      <c r="A39">
        <v>137</v>
      </c>
      <c r="B39" t="s">
        <v>116</v>
      </c>
      <c r="C39" t="s">
        <v>117</v>
      </c>
      <c r="D39" s="1">
        <v>45711</v>
      </c>
      <c r="E39" t="s">
        <v>85</v>
      </c>
      <c r="F39" t="s">
        <v>14</v>
      </c>
      <c r="G39" s="6">
        <f t="shared" si="12"/>
        <v>3</v>
      </c>
      <c r="H39" s="2">
        <v>621.52978021978015</v>
      </c>
      <c r="I39" t="s">
        <v>15</v>
      </c>
      <c r="J39" t="s">
        <v>27</v>
      </c>
      <c r="K39" s="2">
        <v>1864.5893406593405</v>
      </c>
      <c r="L39" s="2"/>
      <c r="M39" s="2"/>
      <c r="N39"/>
      <c r="O39" s="5">
        <v>23</v>
      </c>
      <c r="P39">
        <v>2</v>
      </c>
      <c r="Q39">
        <v>2025</v>
      </c>
      <c r="R39" s="1">
        <f t="shared" si="13"/>
        <v>45711</v>
      </c>
      <c r="T39">
        <v>3</v>
      </c>
      <c r="U39">
        <f t="shared" si="5"/>
        <v>3</v>
      </c>
      <c r="V39">
        <f t="shared" si="6"/>
        <v>3</v>
      </c>
      <c r="W39">
        <f t="shared" si="7"/>
        <v>3</v>
      </c>
      <c r="X39">
        <f t="shared" si="8"/>
        <v>3</v>
      </c>
      <c r="Z39" s="6">
        <f t="shared" si="9"/>
        <v>3</v>
      </c>
      <c r="AA39">
        <f t="shared" si="14"/>
        <v>621.52978021978004</v>
      </c>
      <c r="AB39" s="2">
        <f t="shared" si="10"/>
        <v>621.52978021978004</v>
      </c>
      <c r="AC39" s="2">
        <f t="shared" si="15"/>
        <v>1864.5893406593405</v>
      </c>
      <c r="AD39" t="str">
        <f t="shared" si="16"/>
        <v>Home</v>
      </c>
      <c r="AE39" t="str">
        <f t="shared" si="11"/>
        <v>Home</v>
      </c>
      <c r="AF39" t="str" cm="1">
        <f t="array" ref="AF39">IF(OR(F39=0,F39="0"),   _xlfn.XLOOKUP(E39, _xlfn._xlws.FILTER(E:E, (F:F&lt;&gt;"0")*(F:F&lt;&gt;0)), _xlfn._xlws.FILTER(F:F, (F:F&lt;&gt;"0")*(F:F&lt;&gt;0)), ""),F39)</f>
        <v>Home</v>
      </c>
    </row>
    <row r="40" spans="1:32" x14ac:dyDescent="0.3">
      <c r="A40">
        <v>138</v>
      </c>
      <c r="B40" t="s">
        <v>118</v>
      </c>
      <c r="C40" t="s">
        <v>119</v>
      </c>
      <c r="D40" s="1">
        <v>45878</v>
      </c>
      <c r="E40" t="s">
        <v>96</v>
      </c>
      <c r="F40" t="s">
        <v>14</v>
      </c>
      <c r="G40" s="6">
        <f t="shared" si="12"/>
        <v>1</v>
      </c>
      <c r="H40" s="2">
        <v>531.05999999999995</v>
      </c>
      <c r="I40" t="s">
        <v>21</v>
      </c>
      <c r="J40" t="s">
        <v>22</v>
      </c>
      <c r="K40" s="2">
        <v>531.05999999999995</v>
      </c>
      <c r="L40" s="2"/>
      <c r="M40" s="2"/>
      <c r="N40"/>
      <c r="O40" s="4">
        <v>9</v>
      </c>
      <c r="P40">
        <v>8</v>
      </c>
      <c r="Q40">
        <v>2025</v>
      </c>
      <c r="R40" s="1">
        <f t="shared" si="13"/>
        <v>45878</v>
      </c>
      <c r="T40">
        <v>1</v>
      </c>
      <c r="U40">
        <f t="shared" si="5"/>
        <v>1</v>
      </c>
      <c r="V40">
        <f t="shared" si="6"/>
        <v>1</v>
      </c>
      <c r="W40">
        <f t="shared" si="7"/>
        <v>1</v>
      </c>
      <c r="X40">
        <f t="shared" si="8"/>
        <v>1</v>
      </c>
      <c r="Z40" s="6">
        <f t="shared" si="9"/>
        <v>1</v>
      </c>
      <c r="AA40">
        <f t="shared" si="14"/>
        <v>531.05999999999995</v>
      </c>
      <c r="AB40" s="2">
        <f t="shared" si="10"/>
        <v>531.05999999999995</v>
      </c>
      <c r="AC40" s="2">
        <f t="shared" si="15"/>
        <v>531.05999999999995</v>
      </c>
      <c r="AD40" t="str">
        <f t="shared" si="16"/>
        <v>Home</v>
      </c>
      <c r="AE40" t="str">
        <f t="shared" si="11"/>
        <v>Home</v>
      </c>
      <c r="AF40" t="str" cm="1">
        <f t="array" ref="AF40">IF(OR(F40=0,F40="0"),   _xlfn.XLOOKUP(E40, _xlfn._xlws.FILTER(E:E, (F:F&lt;&gt;"0")*(F:F&lt;&gt;0)), _xlfn._xlws.FILTER(F:F, (F:F&lt;&gt;"0")*(F:F&lt;&gt;0)), ""),F40)</f>
        <v>Home</v>
      </c>
    </row>
    <row r="41" spans="1:32" x14ac:dyDescent="0.3">
      <c r="A41">
        <v>139</v>
      </c>
      <c r="B41" t="s">
        <v>120</v>
      </c>
      <c r="C41" t="s">
        <v>121</v>
      </c>
      <c r="D41" s="1">
        <v>45697</v>
      </c>
      <c r="E41" t="s">
        <v>19</v>
      </c>
      <c r="F41" t="s">
        <v>20</v>
      </c>
      <c r="G41" s="6">
        <f t="shared" si="12"/>
        <v>2</v>
      </c>
      <c r="H41" s="2">
        <v>681.38</v>
      </c>
      <c r="I41" t="s">
        <v>48</v>
      </c>
      <c r="J41" t="s">
        <v>37</v>
      </c>
      <c r="K41" s="2">
        <v>1362.76</v>
      </c>
      <c r="L41" s="2"/>
      <c r="M41" s="2"/>
      <c r="N41"/>
      <c r="O41" s="5">
        <v>9</v>
      </c>
      <c r="P41">
        <v>2</v>
      </c>
      <c r="Q41">
        <v>2025</v>
      </c>
      <c r="R41" s="1">
        <f t="shared" si="13"/>
        <v>45697</v>
      </c>
      <c r="T41">
        <v>2</v>
      </c>
      <c r="U41">
        <f t="shared" si="5"/>
        <v>2</v>
      </c>
      <c r="V41">
        <f t="shared" si="6"/>
        <v>2</v>
      </c>
      <c r="W41">
        <f t="shared" si="7"/>
        <v>2</v>
      </c>
      <c r="X41">
        <f t="shared" si="8"/>
        <v>2</v>
      </c>
      <c r="Z41" s="6">
        <f t="shared" si="9"/>
        <v>2</v>
      </c>
      <c r="AA41">
        <f t="shared" si="14"/>
        <v>681.38</v>
      </c>
      <c r="AB41" s="2">
        <f t="shared" si="10"/>
        <v>681.38</v>
      </c>
      <c r="AC41" s="2">
        <f t="shared" si="15"/>
        <v>1362.76</v>
      </c>
      <c r="AD41" t="str">
        <f t="shared" si="16"/>
        <v>Electronics</v>
      </c>
      <c r="AE41" t="str">
        <f t="shared" si="11"/>
        <v>Electronics</v>
      </c>
      <c r="AF41" t="str" cm="1">
        <f t="array" ref="AF41">IF(OR(F41=0,F41="0"),   _xlfn.XLOOKUP(E41, _xlfn._xlws.FILTER(E:E, (F:F&lt;&gt;"0")*(F:F&lt;&gt;0)), _xlfn._xlws.FILTER(F:F, (F:F&lt;&gt;"0")*(F:F&lt;&gt;0)), ""),F41)</f>
        <v>Electronics</v>
      </c>
    </row>
    <row r="42" spans="1:32" x14ac:dyDescent="0.3">
      <c r="A42">
        <v>140</v>
      </c>
      <c r="B42" t="s">
        <v>122</v>
      </c>
      <c r="C42" t="s">
        <v>123</v>
      </c>
      <c r="D42" s="1">
        <v>45714</v>
      </c>
      <c r="E42" t="s">
        <v>61</v>
      </c>
      <c r="F42" t="s">
        <v>31</v>
      </c>
      <c r="G42" s="6">
        <f t="shared" si="12"/>
        <v>4</v>
      </c>
      <c r="H42" s="2">
        <v>588.98</v>
      </c>
      <c r="I42" t="s">
        <v>48</v>
      </c>
      <c r="J42" t="s">
        <v>43</v>
      </c>
      <c r="K42" s="2">
        <v>2355.92</v>
      </c>
      <c r="L42" s="2"/>
      <c r="M42" s="2"/>
      <c r="N42"/>
      <c r="O42" s="4">
        <v>26</v>
      </c>
      <c r="P42">
        <v>2</v>
      </c>
      <c r="Q42">
        <v>2025</v>
      </c>
      <c r="R42" s="1">
        <f t="shared" si="13"/>
        <v>45714</v>
      </c>
      <c r="T42">
        <v>4</v>
      </c>
      <c r="U42">
        <f t="shared" si="5"/>
        <v>4</v>
      </c>
      <c r="V42">
        <f t="shared" si="6"/>
        <v>4</v>
      </c>
      <c r="W42">
        <f t="shared" si="7"/>
        <v>4</v>
      </c>
      <c r="X42">
        <f t="shared" si="8"/>
        <v>4</v>
      </c>
      <c r="Z42" s="6">
        <f t="shared" si="9"/>
        <v>4</v>
      </c>
      <c r="AA42">
        <f t="shared" si="14"/>
        <v>588.98</v>
      </c>
      <c r="AB42" s="2">
        <f t="shared" si="10"/>
        <v>588.98</v>
      </c>
      <c r="AC42" s="2">
        <f t="shared" si="15"/>
        <v>2355.92</v>
      </c>
      <c r="AD42" t="str">
        <f t="shared" si="16"/>
        <v>Books</v>
      </c>
      <c r="AE42" t="str">
        <f t="shared" si="11"/>
        <v>Books</v>
      </c>
      <c r="AF42" t="str" cm="1">
        <f t="array" ref="AF42">IF(OR(F42=0,F42="0"),   _xlfn.XLOOKUP(E42, _xlfn._xlws.FILTER(E:E, (F:F&lt;&gt;"0")*(F:F&lt;&gt;0)), _xlfn._xlws.FILTER(F:F, (F:F&lt;&gt;"0")*(F:F&lt;&gt;0)), ""),F42)</f>
        <v>Books</v>
      </c>
    </row>
    <row r="43" spans="1:32" x14ac:dyDescent="0.3">
      <c r="A43">
        <v>141</v>
      </c>
      <c r="B43" t="s">
        <v>124</v>
      </c>
      <c r="C43" t="s">
        <v>125</v>
      </c>
      <c r="D43" s="1">
        <v>45701</v>
      </c>
      <c r="E43" t="s">
        <v>61</v>
      </c>
      <c r="F43" t="s">
        <v>31</v>
      </c>
      <c r="G43" s="6">
        <f t="shared" si="12"/>
        <v>3</v>
      </c>
      <c r="H43" s="2">
        <v>546.04</v>
      </c>
      <c r="I43" t="s">
        <v>15</v>
      </c>
      <c r="J43" t="s">
        <v>43</v>
      </c>
      <c r="K43" s="2">
        <v>1638.12</v>
      </c>
      <c r="L43" s="2"/>
      <c r="M43" s="2"/>
      <c r="N43"/>
      <c r="O43" s="5">
        <v>13</v>
      </c>
      <c r="P43">
        <v>2</v>
      </c>
      <c r="Q43">
        <v>2025</v>
      </c>
      <c r="R43" s="1">
        <f t="shared" si="13"/>
        <v>45701</v>
      </c>
      <c r="T43">
        <v>3</v>
      </c>
      <c r="U43">
        <f t="shared" si="5"/>
        <v>3</v>
      </c>
      <c r="V43">
        <f t="shared" si="6"/>
        <v>3</v>
      </c>
      <c r="W43">
        <f t="shared" si="7"/>
        <v>3</v>
      </c>
      <c r="X43">
        <f t="shared" si="8"/>
        <v>3</v>
      </c>
      <c r="Z43" s="6">
        <f t="shared" si="9"/>
        <v>3</v>
      </c>
      <c r="AA43">
        <f t="shared" si="14"/>
        <v>546.04</v>
      </c>
      <c r="AB43" s="2">
        <f t="shared" si="10"/>
        <v>546.04</v>
      </c>
      <c r="AC43" s="2">
        <f t="shared" si="15"/>
        <v>1638.12</v>
      </c>
      <c r="AD43" t="str">
        <f t="shared" si="16"/>
        <v>Books</v>
      </c>
      <c r="AE43" t="str">
        <f t="shared" si="11"/>
        <v>Books</v>
      </c>
      <c r="AF43" t="str" cm="1">
        <f t="array" ref="AF43">IF(OR(F43=0,F43="0"),   _xlfn.XLOOKUP(E43, _xlfn._xlws.FILTER(E:E, (F:F&lt;&gt;"0")*(F:F&lt;&gt;0)), _xlfn._xlws.FILTER(F:F, (F:F&lt;&gt;"0")*(F:F&lt;&gt;0)), ""),F43)</f>
        <v>Books</v>
      </c>
    </row>
    <row r="44" spans="1:32" x14ac:dyDescent="0.3">
      <c r="A44">
        <v>142</v>
      </c>
      <c r="B44" t="s">
        <v>126</v>
      </c>
      <c r="C44" t="s">
        <v>127</v>
      </c>
      <c r="D44" s="1">
        <v>45960</v>
      </c>
      <c r="E44" t="s">
        <v>57</v>
      </c>
      <c r="F44" t="s">
        <v>58</v>
      </c>
      <c r="G44" s="6">
        <f t="shared" si="12"/>
        <v>5</v>
      </c>
      <c r="H44" s="2">
        <v>645.26</v>
      </c>
      <c r="I44" t="s">
        <v>48</v>
      </c>
      <c r="J44" t="s">
        <v>16</v>
      </c>
      <c r="K44" s="2">
        <v>3226.3</v>
      </c>
      <c r="L44" s="2"/>
      <c r="M44" s="2"/>
      <c r="N44"/>
      <c r="O44" s="4">
        <v>30</v>
      </c>
      <c r="P44">
        <v>10</v>
      </c>
      <c r="Q44">
        <v>2025</v>
      </c>
      <c r="R44" s="1">
        <f t="shared" si="13"/>
        <v>45960</v>
      </c>
      <c r="T44">
        <v>5</v>
      </c>
      <c r="U44">
        <f t="shared" si="5"/>
        <v>5</v>
      </c>
      <c r="V44">
        <f t="shared" si="6"/>
        <v>5</v>
      </c>
      <c r="W44">
        <f t="shared" si="7"/>
        <v>5</v>
      </c>
      <c r="X44">
        <f t="shared" si="8"/>
        <v>5</v>
      </c>
      <c r="Z44" s="6">
        <f t="shared" si="9"/>
        <v>5</v>
      </c>
      <c r="AA44">
        <f t="shared" si="14"/>
        <v>645.26</v>
      </c>
      <c r="AB44" s="2">
        <f t="shared" si="10"/>
        <v>645.26</v>
      </c>
      <c r="AC44" s="2">
        <f t="shared" si="15"/>
        <v>3226.3</v>
      </c>
      <c r="AD44" t="str">
        <f t="shared" si="16"/>
        <v>Clothing</v>
      </c>
      <c r="AE44" t="str">
        <f t="shared" si="11"/>
        <v>Clothing</v>
      </c>
      <c r="AF44" t="str" cm="1">
        <f t="array" ref="AF44">IF(OR(F44=0,F44="0"),   _xlfn.XLOOKUP(E44, _xlfn._xlws.FILTER(E:E, (F:F&lt;&gt;"0")*(F:F&lt;&gt;0)), _xlfn._xlws.FILTER(F:F, (F:F&lt;&gt;"0")*(F:F&lt;&gt;0)), ""),F44)</f>
        <v>Clothing</v>
      </c>
    </row>
    <row r="45" spans="1:32" x14ac:dyDescent="0.3">
      <c r="A45">
        <v>143</v>
      </c>
      <c r="B45" t="s">
        <v>128</v>
      </c>
      <c r="C45" t="s">
        <v>129</v>
      </c>
      <c r="D45" s="1">
        <v>45849</v>
      </c>
      <c r="E45" t="s">
        <v>109</v>
      </c>
      <c r="F45" t="s">
        <v>58</v>
      </c>
      <c r="G45" s="6">
        <f t="shared" si="12"/>
        <v>5</v>
      </c>
      <c r="H45" s="2">
        <v>826.77</v>
      </c>
      <c r="I45" t="s">
        <v>40</v>
      </c>
      <c r="J45" t="s">
        <v>37</v>
      </c>
      <c r="K45" s="2">
        <v>4133.8500000000004</v>
      </c>
      <c r="L45" s="2"/>
      <c r="M45" s="2"/>
      <c r="N45"/>
      <c r="O45" s="5">
        <v>11</v>
      </c>
      <c r="P45">
        <v>7</v>
      </c>
      <c r="Q45">
        <v>2025</v>
      </c>
      <c r="R45" s="1">
        <f t="shared" si="13"/>
        <v>45849</v>
      </c>
      <c r="T45">
        <v>5</v>
      </c>
      <c r="U45">
        <f t="shared" si="5"/>
        <v>5</v>
      </c>
      <c r="V45">
        <f t="shared" si="6"/>
        <v>5</v>
      </c>
      <c r="W45">
        <f t="shared" si="7"/>
        <v>5</v>
      </c>
      <c r="X45">
        <f t="shared" si="8"/>
        <v>5</v>
      </c>
      <c r="Z45" s="6">
        <f t="shared" si="9"/>
        <v>5</v>
      </c>
      <c r="AA45">
        <f t="shared" si="14"/>
        <v>826.77</v>
      </c>
      <c r="AB45" s="2">
        <f t="shared" si="10"/>
        <v>826.77</v>
      </c>
      <c r="AC45" s="2">
        <f t="shared" si="15"/>
        <v>4133.8500000000004</v>
      </c>
      <c r="AD45" t="str">
        <f t="shared" si="16"/>
        <v>Clothing</v>
      </c>
      <c r="AE45" t="str">
        <f t="shared" si="11"/>
        <v>Clothing</v>
      </c>
      <c r="AF45" t="str" cm="1">
        <f t="array" ref="AF45">IF(OR(F45=0,F45="0"),   _xlfn.XLOOKUP(E45, _xlfn._xlws.FILTER(E:E, (F:F&lt;&gt;"0")*(F:F&lt;&gt;0)), _xlfn._xlws.FILTER(F:F, (F:F&lt;&gt;"0")*(F:F&lt;&gt;0)), ""),F45)</f>
        <v>Clothing</v>
      </c>
    </row>
    <row r="46" spans="1:32" x14ac:dyDescent="0.3">
      <c r="A46">
        <v>144</v>
      </c>
      <c r="B46" t="s">
        <v>130</v>
      </c>
      <c r="C46" t="s">
        <v>131</v>
      </c>
      <c r="D46" s="1">
        <v>45684</v>
      </c>
      <c r="E46" t="s">
        <v>132</v>
      </c>
      <c r="F46" t="s">
        <v>26</v>
      </c>
      <c r="G46" s="6">
        <f t="shared" si="12"/>
        <v>5</v>
      </c>
      <c r="H46" s="2">
        <v>849.07</v>
      </c>
      <c r="I46" t="s">
        <v>40</v>
      </c>
      <c r="J46" t="s">
        <v>22</v>
      </c>
      <c r="K46" s="2">
        <v>4245.3500000000004</v>
      </c>
      <c r="L46" s="2"/>
      <c r="M46" s="2"/>
      <c r="N46"/>
      <c r="O46" s="4">
        <v>27</v>
      </c>
      <c r="P46">
        <v>1</v>
      </c>
      <c r="Q46">
        <v>2025</v>
      </c>
      <c r="R46" s="1">
        <f t="shared" si="13"/>
        <v>45684</v>
      </c>
      <c r="T46">
        <v>5</v>
      </c>
      <c r="U46">
        <f t="shared" si="5"/>
        <v>5</v>
      </c>
      <c r="V46">
        <f t="shared" si="6"/>
        <v>5</v>
      </c>
      <c r="W46">
        <f t="shared" si="7"/>
        <v>5</v>
      </c>
      <c r="X46">
        <f t="shared" si="8"/>
        <v>5</v>
      </c>
      <c r="Z46" s="6">
        <f t="shared" si="9"/>
        <v>5</v>
      </c>
      <c r="AA46">
        <f t="shared" si="14"/>
        <v>849.07</v>
      </c>
      <c r="AB46" s="2">
        <f t="shared" si="10"/>
        <v>849.07</v>
      </c>
      <c r="AC46" s="2">
        <f t="shared" si="15"/>
        <v>4245.3500000000004</v>
      </c>
      <c r="AD46" t="str">
        <f t="shared" si="16"/>
        <v>Sports</v>
      </c>
      <c r="AE46" t="str">
        <f t="shared" si="11"/>
        <v>Sports</v>
      </c>
      <c r="AF46" t="str" cm="1">
        <f t="array" ref="AF46">IF(OR(F46=0,F46="0"),   _xlfn.XLOOKUP(E46, _xlfn._xlws.FILTER(E:E, (F:F&lt;&gt;"0")*(F:F&lt;&gt;0)), _xlfn._xlws.FILTER(F:F, (F:F&lt;&gt;"0")*(F:F&lt;&gt;0)), ""),F46)</f>
        <v>Sports</v>
      </c>
    </row>
    <row r="47" spans="1:32" x14ac:dyDescent="0.3">
      <c r="A47">
        <v>145</v>
      </c>
      <c r="B47" t="s">
        <v>133</v>
      </c>
      <c r="C47" t="s">
        <v>134</v>
      </c>
      <c r="D47" s="1">
        <v>44931</v>
      </c>
      <c r="E47" t="s">
        <v>135</v>
      </c>
      <c r="F47" t="s">
        <v>20</v>
      </c>
      <c r="G47" s="6">
        <f t="shared" si="12"/>
        <v>2</v>
      </c>
      <c r="H47" s="2">
        <v>860.99</v>
      </c>
      <c r="I47" t="s">
        <v>40</v>
      </c>
      <c r="J47" t="s">
        <v>43</v>
      </c>
      <c r="K47" s="2">
        <v>1721.98</v>
      </c>
      <c r="L47" s="2"/>
      <c r="M47" s="2"/>
      <c r="N47"/>
      <c r="O47" s="5">
        <v>5</v>
      </c>
      <c r="P47">
        <v>1</v>
      </c>
      <c r="Q47">
        <v>2023</v>
      </c>
      <c r="R47" s="1">
        <f t="shared" si="13"/>
        <v>44931</v>
      </c>
      <c r="T47">
        <v>2</v>
      </c>
      <c r="U47">
        <f t="shared" si="5"/>
        <v>2</v>
      </c>
      <c r="V47">
        <f t="shared" si="6"/>
        <v>2</v>
      </c>
      <c r="W47">
        <f t="shared" si="7"/>
        <v>2</v>
      </c>
      <c r="X47">
        <f t="shared" si="8"/>
        <v>2</v>
      </c>
      <c r="Z47" s="6">
        <f t="shared" si="9"/>
        <v>2</v>
      </c>
      <c r="AA47">
        <f t="shared" si="14"/>
        <v>860.99</v>
      </c>
      <c r="AB47" s="2">
        <f t="shared" si="10"/>
        <v>860.99</v>
      </c>
      <c r="AC47" s="2">
        <f t="shared" si="15"/>
        <v>1721.98</v>
      </c>
      <c r="AD47" t="str">
        <f t="shared" si="16"/>
        <v>Electronics</v>
      </c>
      <c r="AE47" t="str">
        <f t="shared" si="11"/>
        <v>Electronics</v>
      </c>
      <c r="AF47" t="str" cm="1">
        <f t="array" ref="AF47">IF(OR(F47=0,F47="0"),   _xlfn.XLOOKUP(E47, _xlfn._xlws.FILTER(E:E, (F:F&lt;&gt;"0")*(F:F&lt;&gt;0)), _xlfn._xlws.FILTER(F:F, (F:F&lt;&gt;"0")*(F:F&lt;&gt;0)), ""),F47)</f>
        <v>Electronics</v>
      </c>
    </row>
    <row r="48" spans="1:32" x14ac:dyDescent="0.3">
      <c r="A48">
        <v>146</v>
      </c>
      <c r="B48" t="s">
        <v>136</v>
      </c>
      <c r="C48" t="s">
        <v>137</v>
      </c>
      <c r="D48" s="1">
        <v>45847</v>
      </c>
      <c r="E48" t="s">
        <v>51</v>
      </c>
      <c r="F48" t="s">
        <v>20</v>
      </c>
      <c r="G48" s="6">
        <f t="shared" si="12"/>
        <v>2</v>
      </c>
      <c r="H48" s="2">
        <v>705.42</v>
      </c>
      <c r="I48" t="s">
        <v>40</v>
      </c>
      <c r="J48" t="s">
        <v>22</v>
      </c>
      <c r="K48" s="2">
        <v>1410.84</v>
      </c>
      <c r="L48" s="2"/>
      <c r="M48" s="2"/>
      <c r="N48"/>
      <c r="O48" s="4">
        <v>9</v>
      </c>
      <c r="P48">
        <v>7</v>
      </c>
      <c r="Q48">
        <v>2025</v>
      </c>
      <c r="R48" s="1">
        <f t="shared" si="13"/>
        <v>45847</v>
      </c>
      <c r="T48">
        <v>2</v>
      </c>
      <c r="U48">
        <f t="shared" si="5"/>
        <v>2</v>
      </c>
      <c r="V48">
        <f t="shared" si="6"/>
        <v>2</v>
      </c>
      <c r="W48">
        <f t="shared" si="7"/>
        <v>2</v>
      </c>
      <c r="X48">
        <f t="shared" si="8"/>
        <v>2</v>
      </c>
      <c r="Z48" s="6">
        <f t="shared" si="9"/>
        <v>2</v>
      </c>
      <c r="AA48">
        <f t="shared" si="14"/>
        <v>705.42</v>
      </c>
      <c r="AB48" s="2">
        <f t="shared" si="10"/>
        <v>705.42</v>
      </c>
      <c r="AC48" s="2">
        <f t="shared" si="15"/>
        <v>1410.84</v>
      </c>
      <c r="AD48" t="str">
        <f t="shared" si="16"/>
        <v>Electronics</v>
      </c>
      <c r="AE48" t="str">
        <f t="shared" si="11"/>
        <v>Electronics</v>
      </c>
      <c r="AF48" t="str" cm="1">
        <f t="array" ref="AF48">IF(OR(F48=0,F48="0"),   _xlfn.XLOOKUP(E48, _xlfn._xlws.FILTER(E:E, (F:F&lt;&gt;"0")*(F:F&lt;&gt;0)), _xlfn._xlws.FILTER(F:F, (F:F&lt;&gt;"0")*(F:F&lt;&gt;0)), ""),F48)</f>
        <v>Electronics</v>
      </c>
    </row>
    <row r="49" spans="1:32" x14ac:dyDescent="0.3">
      <c r="A49">
        <v>147</v>
      </c>
      <c r="B49" t="s">
        <v>138</v>
      </c>
      <c r="C49" t="s">
        <v>139</v>
      </c>
      <c r="D49" s="1">
        <v>45778</v>
      </c>
      <c r="E49" t="s">
        <v>140</v>
      </c>
      <c r="F49" t="s">
        <v>58</v>
      </c>
      <c r="G49" s="6">
        <f t="shared" si="12"/>
        <v>4</v>
      </c>
      <c r="H49" s="2">
        <v>596.15</v>
      </c>
      <c r="I49" t="s">
        <v>15</v>
      </c>
      <c r="J49" t="s">
        <v>16</v>
      </c>
      <c r="K49" s="2">
        <v>2384.6</v>
      </c>
      <c r="L49" s="2"/>
      <c r="M49" s="2"/>
      <c r="N49"/>
      <c r="O49" s="5">
        <v>1</v>
      </c>
      <c r="P49">
        <v>5</v>
      </c>
      <c r="Q49">
        <v>2025</v>
      </c>
      <c r="R49" s="1">
        <f t="shared" si="13"/>
        <v>45778</v>
      </c>
      <c r="T49">
        <v>4</v>
      </c>
      <c r="U49">
        <f t="shared" si="5"/>
        <v>4</v>
      </c>
      <c r="V49">
        <f t="shared" si="6"/>
        <v>4</v>
      </c>
      <c r="W49">
        <f t="shared" si="7"/>
        <v>4</v>
      </c>
      <c r="X49">
        <f t="shared" si="8"/>
        <v>4</v>
      </c>
      <c r="Z49" s="6">
        <f t="shared" si="9"/>
        <v>4</v>
      </c>
      <c r="AA49">
        <f t="shared" si="14"/>
        <v>596.15</v>
      </c>
      <c r="AB49" s="2">
        <f t="shared" si="10"/>
        <v>596.15</v>
      </c>
      <c r="AC49" s="2">
        <f t="shared" si="15"/>
        <v>2384.6</v>
      </c>
      <c r="AD49" t="str">
        <f t="shared" si="16"/>
        <v>Clothing</v>
      </c>
      <c r="AE49" t="str">
        <f t="shared" si="11"/>
        <v>Clothing</v>
      </c>
      <c r="AF49" t="str" cm="1">
        <f t="array" ref="AF49">IF(OR(F49=0,F49="0"),   _xlfn.XLOOKUP(E49, _xlfn._xlws.FILTER(E:E, (F:F&lt;&gt;"0")*(F:F&lt;&gt;0)), _xlfn._xlws.FILTER(F:F, (F:F&lt;&gt;"0")*(F:F&lt;&gt;0)), ""),F49)</f>
        <v>Clothing</v>
      </c>
    </row>
    <row r="50" spans="1:32" x14ac:dyDescent="0.3">
      <c r="A50">
        <v>148</v>
      </c>
      <c r="B50" t="s">
        <v>141</v>
      </c>
      <c r="C50" t="s">
        <v>142</v>
      </c>
      <c r="D50" s="1">
        <v>45729</v>
      </c>
      <c r="E50" t="s">
        <v>25</v>
      </c>
      <c r="F50" t="s">
        <v>26</v>
      </c>
      <c r="G50" s="6">
        <f t="shared" si="12"/>
        <v>1</v>
      </c>
      <c r="H50" s="2">
        <v>660.98</v>
      </c>
      <c r="I50" t="s">
        <v>15</v>
      </c>
      <c r="J50" t="s">
        <v>43</v>
      </c>
      <c r="K50" s="2">
        <v>660.98</v>
      </c>
      <c r="L50" s="2"/>
      <c r="M50" s="2"/>
      <c r="N50"/>
      <c r="O50" s="4">
        <v>13</v>
      </c>
      <c r="P50">
        <v>3</v>
      </c>
      <c r="Q50">
        <v>2025</v>
      </c>
      <c r="R50" s="1">
        <f t="shared" si="13"/>
        <v>45729</v>
      </c>
      <c r="T50">
        <v>1</v>
      </c>
      <c r="U50">
        <f t="shared" si="5"/>
        <v>1</v>
      </c>
      <c r="V50">
        <f t="shared" si="6"/>
        <v>1</v>
      </c>
      <c r="W50">
        <f t="shared" si="7"/>
        <v>1</v>
      </c>
      <c r="X50">
        <f t="shared" si="8"/>
        <v>1</v>
      </c>
      <c r="Z50" s="6">
        <f t="shared" si="9"/>
        <v>1</v>
      </c>
      <c r="AA50">
        <f t="shared" si="14"/>
        <v>660.98</v>
      </c>
      <c r="AB50" s="2">
        <f t="shared" si="10"/>
        <v>660.98</v>
      </c>
      <c r="AC50" s="2">
        <f t="shared" si="15"/>
        <v>660.98</v>
      </c>
      <c r="AD50" t="str">
        <f t="shared" si="16"/>
        <v>Sports</v>
      </c>
      <c r="AE50" t="str">
        <f t="shared" si="11"/>
        <v>Sports</v>
      </c>
      <c r="AF50" t="str" cm="1">
        <f t="array" ref="AF50">IF(OR(F50=0,F50="0"),   _xlfn.XLOOKUP(E50, _xlfn._xlws.FILTER(E:E, (F:F&lt;&gt;"0")*(F:F&lt;&gt;0)), _xlfn._xlws.FILTER(F:F, (F:F&lt;&gt;"0")*(F:F&lt;&gt;0)), ""),F50)</f>
        <v>Sports</v>
      </c>
    </row>
    <row r="51" spans="1:32" x14ac:dyDescent="0.3">
      <c r="A51">
        <v>149</v>
      </c>
      <c r="B51" t="s">
        <v>143</v>
      </c>
      <c r="C51" t="s">
        <v>144</v>
      </c>
      <c r="D51" s="1">
        <v>45837</v>
      </c>
      <c r="E51" t="s">
        <v>54</v>
      </c>
      <c r="F51" t="s">
        <v>31</v>
      </c>
      <c r="G51" s="6">
        <f t="shared" si="12"/>
        <v>5</v>
      </c>
      <c r="H51" s="2">
        <v>896.38</v>
      </c>
      <c r="I51" t="s">
        <v>40</v>
      </c>
      <c r="J51" t="s">
        <v>37</v>
      </c>
      <c r="K51" s="2">
        <v>4481.8999999999996</v>
      </c>
      <c r="L51" s="2"/>
      <c r="M51" s="2"/>
      <c r="N51"/>
      <c r="O51" s="5">
        <v>29</v>
      </c>
      <c r="P51">
        <v>6</v>
      </c>
      <c r="Q51">
        <v>2025</v>
      </c>
      <c r="R51" s="1">
        <f t="shared" si="13"/>
        <v>45837</v>
      </c>
      <c r="T51">
        <v>5</v>
      </c>
      <c r="U51">
        <f t="shared" si="5"/>
        <v>5</v>
      </c>
      <c r="V51">
        <f t="shared" si="6"/>
        <v>5</v>
      </c>
      <c r="W51">
        <f t="shared" si="7"/>
        <v>5</v>
      </c>
      <c r="X51">
        <f t="shared" si="8"/>
        <v>5</v>
      </c>
      <c r="Z51" s="6">
        <f t="shared" si="9"/>
        <v>5</v>
      </c>
      <c r="AA51">
        <f t="shared" si="14"/>
        <v>896.38</v>
      </c>
      <c r="AB51" s="2">
        <f t="shared" si="10"/>
        <v>896.38</v>
      </c>
      <c r="AC51" s="2">
        <f t="shared" si="15"/>
        <v>4481.8999999999996</v>
      </c>
      <c r="AD51" t="str">
        <f t="shared" si="16"/>
        <v>Books</v>
      </c>
      <c r="AE51" t="str">
        <f t="shared" si="11"/>
        <v>Books</v>
      </c>
      <c r="AF51" t="str" cm="1">
        <f t="array" ref="AF51">IF(OR(F51=0,F51="0"),   _xlfn.XLOOKUP(E51, _xlfn._xlws.FILTER(E:E, (F:F&lt;&gt;"0")*(F:F&lt;&gt;0)), _xlfn._xlws.FILTER(F:F, (F:F&lt;&gt;"0")*(F:F&lt;&gt;0)), ""),F51)</f>
        <v>Books</v>
      </c>
    </row>
    <row r="52" spans="1:32" x14ac:dyDescent="0.3">
      <c r="A52">
        <v>150</v>
      </c>
      <c r="B52" t="s">
        <v>145</v>
      </c>
      <c r="C52" t="s">
        <v>146</v>
      </c>
      <c r="D52" s="1">
        <v>45623</v>
      </c>
      <c r="E52" t="s">
        <v>78</v>
      </c>
      <c r="F52" t="s">
        <v>26</v>
      </c>
      <c r="G52" s="6">
        <f t="shared" si="12"/>
        <v>1</v>
      </c>
      <c r="H52" s="2">
        <v>206.19</v>
      </c>
      <c r="I52" t="s">
        <v>48</v>
      </c>
      <c r="J52" t="s">
        <v>43</v>
      </c>
      <c r="K52" s="2">
        <v>206.19</v>
      </c>
      <c r="L52" s="2"/>
      <c r="M52" s="2"/>
      <c r="N52"/>
      <c r="O52" s="4">
        <v>27</v>
      </c>
      <c r="P52">
        <v>11</v>
      </c>
      <c r="Q52">
        <v>2024</v>
      </c>
      <c r="R52" s="1">
        <f t="shared" si="13"/>
        <v>45623</v>
      </c>
      <c r="T52">
        <v>1</v>
      </c>
      <c r="U52">
        <f t="shared" si="5"/>
        <v>1</v>
      </c>
      <c r="V52">
        <f t="shared" si="6"/>
        <v>1</v>
      </c>
      <c r="W52">
        <f t="shared" si="7"/>
        <v>1</v>
      </c>
      <c r="X52">
        <f t="shared" si="8"/>
        <v>1</v>
      </c>
      <c r="Z52" s="6">
        <f t="shared" si="9"/>
        <v>1</v>
      </c>
      <c r="AA52">
        <f t="shared" si="14"/>
        <v>206.19</v>
      </c>
      <c r="AB52" s="2">
        <f t="shared" si="10"/>
        <v>206.19</v>
      </c>
      <c r="AC52" s="2">
        <f t="shared" si="15"/>
        <v>206.19</v>
      </c>
      <c r="AD52" t="str">
        <f t="shared" si="16"/>
        <v>Sports</v>
      </c>
      <c r="AE52" t="str">
        <f t="shared" si="11"/>
        <v>Sports</v>
      </c>
      <c r="AF52" t="str" cm="1">
        <f t="array" ref="AF52">IF(OR(F52=0,F52="0"),   _xlfn.XLOOKUP(E52, _xlfn._xlws.FILTER(E:E, (F:F&lt;&gt;"0")*(F:F&lt;&gt;0)), _xlfn._xlws.FILTER(F:F, (F:F&lt;&gt;"0")*(F:F&lt;&gt;0)), ""),F52)</f>
        <v>Sports</v>
      </c>
    </row>
    <row r="53" spans="1:32" x14ac:dyDescent="0.3">
      <c r="A53">
        <v>151</v>
      </c>
      <c r="B53" t="s">
        <v>147</v>
      </c>
      <c r="C53" t="s">
        <v>148</v>
      </c>
      <c r="D53" s="1">
        <v>45839</v>
      </c>
      <c r="E53" t="s">
        <v>54</v>
      </c>
      <c r="F53" t="s">
        <v>31</v>
      </c>
      <c r="G53" s="6">
        <f t="shared" si="12"/>
        <v>2</v>
      </c>
      <c r="H53" s="2">
        <v>457.16</v>
      </c>
      <c r="I53" t="s">
        <v>21</v>
      </c>
      <c r="J53" t="s">
        <v>22</v>
      </c>
      <c r="K53" s="2">
        <v>914.32</v>
      </c>
      <c r="L53" s="2"/>
      <c r="M53" s="2"/>
      <c r="N53"/>
      <c r="O53" s="5">
        <v>1</v>
      </c>
      <c r="P53">
        <v>7</v>
      </c>
      <c r="Q53">
        <v>2025</v>
      </c>
      <c r="R53" s="1">
        <f t="shared" si="13"/>
        <v>45839</v>
      </c>
      <c r="T53">
        <v>2</v>
      </c>
      <c r="U53">
        <f t="shared" si="5"/>
        <v>2</v>
      </c>
      <c r="V53">
        <f t="shared" si="6"/>
        <v>2</v>
      </c>
      <c r="W53">
        <f t="shared" si="7"/>
        <v>2</v>
      </c>
      <c r="X53">
        <f t="shared" si="8"/>
        <v>2</v>
      </c>
      <c r="Z53" s="6">
        <f t="shared" si="9"/>
        <v>2</v>
      </c>
      <c r="AA53">
        <f t="shared" si="14"/>
        <v>457.16</v>
      </c>
      <c r="AB53" s="2">
        <f t="shared" si="10"/>
        <v>457.16</v>
      </c>
      <c r="AC53" s="2">
        <f t="shared" si="15"/>
        <v>914.32</v>
      </c>
      <c r="AD53" t="str">
        <f t="shared" si="16"/>
        <v>Books</v>
      </c>
      <c r="AE53" t="str">
        <f t="shared" si="11"/>
        <v>Books</v>
      </c>
      <c r="AF53" t="str" cm="1">
        <f t="array" ref="AF53">IF(OR(F53=0,F53="0"),   _xlfn.XLOOKUP(E53, _xlfn._xlws.FILTER(E:E, (F:F&lt;&gt;"0")*(F:F&lt;&gt;0)), _xlfn._xlws.FILTER(F:F, (F:F&lt;&gt;"0")*(F:F&lt;&gt;0)), ""),F53)</f>
        <v>Books</v>
      </c>
    </row>
    <row r="54" spans="1:32" x14ac:dyDescent="0.3">
      <c r="A54">
        <v>152</v>
      </c>
      <c r="B54" t="s">
        <v>149</v>
      </c>
      <c r="C54" t="s">
        <v>150</v>
      </c>
      <c r="D54" s="1">
        <v>45922</v>
      </c>
      <c r="E54" t="s">
        <v>96</v>
      </c>
      <c r="F54" t="s">
        <v>14</v>
      </c>
      <c r="G54" s="6">
        <f t="shared" si="12"/>
        <v>3</v>
      </c>
      <c r="H54" s="2">
        <v>233.11</v>
      </c>
      <c r="I54" t="s">
        <v>21</v>
      </c>
      <c r="J54" t="s">
        <v>43</v>
      </c>
      <c r="K54" s="2">
        <v>699.33</v>
      </c>
      <c r="L54" s="2"/>
      <c r="M54" s="2"/>
      <c r="N54"/>
      <c r="O54" s="4">
        <v>22</v>
      </c>
      <c r="P54">
        <v>9</v>
      </c>
      <c r="Q54">
        <v>2025</v>
      </c>
      <c r="R54" s="1">
        <f t="shared" si="13"/>
        <v>45922</v>
      </c>
      <c r="T54">
        <v>3</v>
      </c>
      <c r="U54">
        <f t="shared" si="5"/>
        <v>3</v>
      </c>
      <c r="V54">
        <f t="shared" si="6"/>
        <v>3</v>
      </c>
      <c r="W54">
        <f t="shared" si="7"/>
        <v>3</v>
      </c>
      <c r="X54">
        <f t="shared" si="8"/>
        <v>3</v>
      </c>
      <c r="Z54" s="6">
        <f t="shared" si="9"/>
        <v>3</v>
      </c>
      <c r="AA54">
        <f t="shared" si="14"/>
        <v>233.11</v>
      </c>
      <c r="AB54" s="2">
        <f t="shared" si="10"/>
        <v>233.11</v>
      </c>
      <c r="AC54" s="2">
        <f t="shared" si="15"/>
        <v>699.33</v>
      </c>
      <c r="AD54" t="str">
        <f t="shared" si="16"/>
        <v>Home</v>
      </c>
      <c r="AE54" t="str">
        <f t="shared" si="11"/>
        <v>Home</v>
      </c>
      <c r="AF54" t="str" cm="1">
        <f t="array" ref="AF54">IF(OR(F54=0,F54="0"),   _xlfn.XLOOKUP(E54, _xlfn._xlws.FILTER(E:E, (F:F&lt;&gt;"0")*(F:F&lt;&gt;0)), _xlfn._xlws.FILTER(F:F, (F:F&lt;&gt;"0")*(F:F&lt;&gt;0)), ""),F54)</f>
        <v>Home</v>
      </c>
    </row>
    <row r="55" spans="1:32" x14ac:dyDescent="0.3">
      <c r="A55">
        <v>153</v>
      </c>
      <c r="B55" t="s">
        <v>151</v>
      </c>
      <c r="C55" t="s">
        <v>152</v>
      </c>
      <c r="D55" s="1">
        <v>45854</v>
      </c>
      <c r="E55" t="s">
        <v>78</v>
      </c>
      <c r="F55" t="s">
        <v>26</v>
      </c>
      <c r="G55" s="6">
        <f t="shared" si="12"/>
        <v>4</v>
      </c>
      <c r="H55" s="2">
        <v>278.89999999999998</v>
      </c>
      <c r="I55" t="s">
        <v>15</v>
      </c>
      <c r="J55" t="s">
        <v>22</v>
      </c>
      <c r="K55" s="2">
        <v>1115.5999999999999</v>
      </c>
      <c r="L55" s="2"/>
      <c r="M55" s="2"/>
      <c r="N55"/>
      <c r="O55" s="5">
        <v>16</v>
      </c>
      <c r="P55">
        <v>7</v>
      </c>
      <c r="Q55">
        <v>2025</v>
      </c>
      <c r="R55" s="1">
        <f t="shared" si="13"/>
        <v>45854</v>
      </c>
      <c r="T55">
        <v>4</v>
      </c>
      <c r="U55">
        <f t="shared" si="5"/>
        <v>4</v>
      </c>
      <c r="V55">
        <f t="shared" si="6"/>
        <v>4</v>
      </c>
      <c r="W55">
        <f t="shared" si="7"/>
        <v>4</v>
      </c>
      <c r="X55">
        <f t="shared" si="8"/>
        <v>4</v>
      </c>
      <c r="Z55" s="6">
        <f t="shared" si="9"/>
        <v>4</v>
      </c>
      <c r="AA55">
        <f t="shared" si="14"/>
        <v>278.89999999999998</v>
      </c>
      <c r="AB55" s="2">
        <f t="shared" si="10"/>
        <v>278.89999999999998</v>
      </c>
      <c r="AC55" s="2">
        <f t="shared" si="15"/>
        <v>1115.5999999999999</v>
      </c>
      <c r="AD55" t="str">
        <f t="shared" si="16"/>
        <v>Sports</v>
      </c>
      <c r="AE55" t="str">
        <f t="shared" si="11"/>
        <v>Sports</v>
      </c>
      <c r="AF55" t="str" cm="1">
        <f t="array" ref="AF55">IF(OR(F55=0,F55="0"),   _xlfn.XLOOKUP(E55, _xlfn._xlws.FILTER(E:E, (F:F&lt;&gt;"0")*(F:F&lt;&gt;0)), _xlfn._xlws.FILTER(F:F, (F:F&lt;&gt;"0")*(F:F&lt;&gt;0)), ""),F55)</f>
        <v>Sports</v>
      </c>
    </row>
    <row r="56" spans="1:32" x14ac:dyDescent="0.3">
      <c r="A56">
        <v>154</v>
      </c>
      <c r="B56" t="s">
        <v>153</v>
      </c>
      <c r="C56" t="s">
        <v>154</v>
      </c>
      <c r="D56" s="1">
        <v>45709</v>
      </c>
      <c r="E56" t="s">
        <v>13</v>
      </c>
      <c r="F56" t="s">
        <v>14</v>
      </c>
      <c r="G56" s="6">
        <f t="shared" si="12"/>
        <v>5</v>
      </c>
      <c r="H56" s="2">
        <v>789.64</v>
      </c>
      <c r="I56" t="s">
        <v>15</v>
      </c>
      <c r="J56" t="s">
        <v>37</v>
      </c>
      <c r="K56" s="2">
        <v>3948.2</v>
      </c>
      <c r="L56" s="2"/>
      <c r="M56" s="2"/>
      <c r="N56"/>
      <c r="O56" s="4">
        <v>21</v>
      </c>
      <c r="P56">
        <v>2</v>
      </c>
      <c r="Q56">
        <v>2025</v>
      </c>
      <c r="R56" s="1">
        <f t="shared" si="13"/>
        <v>45709</v>
      </c>
      <c r="T56">
        <v>5</v>
      </c>
      <c r="U56">
        <f t="shared" si="5"/>
        <v>5</v>
      </c>
      <c r="V56">
        <f t="shared" si="6"/>
        <v>5</v>
      </c>
      <c r="W56">
        <f t="shared" si="7"/>
        <v>5</v>
      </c>
      <c r="X56">
        <f t="shared" si="8"/>
        <v>5</v>
      </c>
      <c r="Z56" s="6">
        <f t="shared" si="9"/>
        <v>5</v>
      </c>
      <c r="AA56">
        <f t="shared" si="14"/>
        <v>789.64</v>
      </c>
      <c r="AB56" s="2">
        <f t="shared" si="10"/>
        <v>789.64</v>
      </c>
      <c r="AC56" s="2">
        <f t="shared" si="15"/>
        <v>3948.2</v>
      </c>
      <c r="AD56" t="str">
        <f t="shared" si="16"/>
        <v>Home</v>
      </c>
      <c r="AE56" t="str">
        <f t="shared" si="11"/>
        <v>Home</v>
      </c>
      <c r="AF56" t="str" cm="1">
        <f t="array" ref="AF56">IF(OR(F56=0,F56="0"),   _xlfn.XLOOKUP(E56, _xlfn._xlws.FILTER(E:E, (F:F&lt;&gt;"0")*(F:F&lt;&gt;0)), _xlfn._xlws.FILTER(F:F, (F:F&lt;&gt;"0")*(F:F&lt;&gt;0)), ""),F56)</f>
        <v>Home</v>
      </c>
    </row>
    <row r="57" spans="1:32" x14ac:dyDescent="0.3">
      <c r="A57">
        <v>155</v>
      </c>
      <c r="B57" t="s">
        <v>155</v>
      </c>
      <c r="C57" t="s">
        <v>156</v>
      </c>
      <c r="D57" s="1">
        <v>45778</v>
      </c>
      <c r="E57" t="s">
        <v>157</v>
      </c>
      <c r="F57" t="s">
        <v>58</v>
      </c>
      <c r="G57" s="6">
        <f t="shared" si="12"/>
        <v>1</v>
      </c>
      <c r="H57" s="2">
        <v>40.950000000000003</v>
      </c>
      <c r="I57" t="s">
        <v>21</v>
      </c>
      <c r="J57" t="s">
        <v>43</v>
      </c>
      <c r="K57" s="2">
        <v>40.950000000000003</v>
      </c>
      <c r="L57" s="2"/>
      <c r="M57" s="2"/>
      <c r="N57"/>
      <c r="O57" s="5">
        <v>1</v>
      </c>
      <c r="P57">
        <v>5</v>
      </c>
      <c r="Q57">
        <v>2025</v>
      </c>
      <c r="R57" s="1">
        <f t="shared" si="13"/>
        <v>45778</v>
      </c>
      <c r="T57">
        <v>1</v>
      </c>
      <c r="U57">
        <f t="shared" si="5"/>
        <v>1</v>
      </c>
      <c r="V57">
        <f t="shared" si="6"/>
        <v>1</v>
      </c>
      <c r="W57">
        <f t="shared" si="7"/>
        <v>1</v>
      </c>
      <c r="X57">
        <f t="shared" si="8"/>
        <v>1</v>
      </c>
      <c r="Z57" s="6">
        <f t="shared" si="9"/>
        <v>1</v>
      </c>
      <c r="AA57">
        <f t="shared" si="14"/>
        <v>40.950000000000003</v>
      </c>
      <c r="AB57" s="2">
        <f t="shared" si="10"/>
        <v>40.950000000000003</v>
      </c>
      <c r="AC57" s="2">
        <f t="shared" si="15"/>
        <v>40.950000000000003</v>
      </c>
      <c r="AD57" t="str">
        <f t="shared" si="16"/>
        <v>Clothing</v>
      </c>
      <c r="AE57" t="str">
        <f t="shared" si="11"/>
        <v>Clothing</v>
      </c>
      <c r="AF57" t="str" cm="1">
        <f t="array" ref="AF57">IF(OR(F57=0,F57="0"),   _xlfn.XLOOKUP(E57, _xlfn._xlws.FILTER(E:E, (F:F&lt;&gt;"0")*(F:F&lt;&gt;0)), _xlfn._xlws.FILTER(F:F, (F:F&lt;&gt;"0")*(F:F&lt;&gt;0)), ""),F57)</f>
        <v>Clothing</v>
      </c>
    </row>
    <row r="58" spans="1:32" x14ac:dyDescent="0.3">
      <c r="A58">
        <v>156</v>
      </c>
      <c r="B58" t="s">
        <v>158</v>
      </c>
      <c r="C58" t="s">
        <v>159</v>
      </c>
      <c r="D58" s="1">
        <v>45624</v>
      </c>
      <c r="E58" t="s">
        <v>160</v>
      </c>
      <c r="F58" t="s">
        <v>58</v>
      </c>
      <c r="G58" s="6">
        <f t="shared" si="12"/>
        <v>2</v>
      </c>
      <c r="H58" s="2">
        <v>621.52978021978015</v>
      </c>
      <c r="I58" t="s">
        <v>40</v>
      </c>
      <c r="J58" t="s">
        <v>16</v>
      </c>
      <c r="K58" s="2">
        <v>1243.0595604395603</v>
      </c>
      <c r="L58" s="2"/>
      <c r="M58" s="2"/>
      <c r="N58"/>
      <c r="O58" s="4">
        <v>28</v>
      </c>
      <c r="P58">
        <v>11</v>
      </c>
      <c r="Q58">
        <v>2024</v>
      </c>
      <c r="R58" s="1">
        <f t="shared" si="13"/>
        <v>45624</v>
      </c>
      <c r="T58">
        <v>2</v>
      </c>
      <c r="U58">
        <f t="shared" si="5"/>
        <v>2</v>
      </c>
      <c r="V58">
        <f t="shared" si="6"/>
        <v>2</v>
      </c>
      <c r="W58">
        <f t="shared" si="7"/>
        <v>2</v>
      </c>
      <c r="X58">
        <f t="shared" si="8"/>
        <v>2</v>
      </c>
      <c r="Z58" s="6">
        <f t="shared" si="9"/>
        <v>2</v>
      </c>
      <c r="AA58">
        <f t="shared" si="14"/>
        <v>621.52978021978004</v>
      </c>
      <c r="AB58" s="2">
        <f t="shared" si="10"/>
        <v>621.52978021978004</v>
      </c>
      <c r="AC58" s="2">
        <f t="shared" si="15"/>
        <v>1243.0595604395603</v>
      </c>
      <c r="AD58" t="str">
        <f t="shared" si="16"/>
        <v>Clothing</v>
      </c>
      <c r="AE58" t="str">
        <f t="shared" si="11"/>
        <v>Clothing</v>
      </c>
      <c r="AF58" t="str" cm="1">
        <f t="array" ref="AF58">IF(OR(F58=0,F58="0"),   _xlfn.XLOOKUP(E58, _xlfn._xlws.FILTER(E:E, (F:F&lt;&gt;"0")*(F:F&lt;&gt;0)), _xlfn._xlws.FILTER(F:F, (F:F&lt;&gt;"0")*(F:F&lt;&gt;0)), ""),F58)</f>
        <v>Clothing</v>
      </c>
    </row>
    <row r="59" spans="1:32" x14ac:dyDescent="0.3">
      <c r="A59">
        <v>157</v>
      </c>
      <c r="B59" t="s">
        <v>161</v>
      </c>
      <c r="C59" t="s">
        <v>162</v>
      </c>
      <c r="D59" s="1">
        <v>45967</v>
      </c>
      <c r="E59" t="s">
        <v>140</v>
      </c>
      <c r="F59" t="s">
        <v>58</v>
      </c>
      <c r="G59" s="6">
        <f t="shared" si="12"/>
        <v>4</v>
      </c>
      <c r="H59" s="2">
        <v>275.10000000000002</v>
      </c>
      <c r="I59" t="s">
        <v>40</v>
      </c>
      <c r="J59" t="s">
        <v>22</v>
      </c>
      <c r="K59" s="2">
        <v>1100.4000000000001</v>
      </c>
      <c r="L59" s="2"/>
      <c r="M59" s="2"/>
      <c r="N59"/>
      <c r="O59" s="5">
        <v>6</v>
      </c>
      <c r="P59">
        <v>11</v>
      </c>
      <c r="Q59">
        <v>2025</v>
      </c>
      <c r="R59" s="1">
        <f t="shared" si="13"/>
        <v>45967</v>
      </c>
      <c r="T59">
        <v>4</v>
      </c>
      <c r="U59">
        <f t="shared" si="5"/>
        <v>4</v>
      </c>
      <c r="V59">
        <f t="shared" si="6"/>
        <v>4</v>
      </c>
      <c r="W59">
        <f t="shared" si="7"/>
        <v>4</v>
      </c>
      <c r="X59">
        <f t="shared" si="8"/>
        <v>4</v>
      </c>
      <c r="Z59" s="6">
        <f t="shared" si="9"/>
        <v>4</v>
      </c>
      <c r="AA59">
        <f t="shared" si="14"/>
        <v>275.10000000000002</v>
      </c>
      <c r="AB59" s="2">
        <f t="shared" si="10"/>
        <v>275.10000000000002</v>
      </c>
      <c r="AC59" s="2">
        <f t="shared" si="15"/>
        <v>1100.4000000000001</v>
      </c>
      <c r="AD59" t="str">
        <f t="shared" si="16"/>
        <v>Clothing</v>
      </c>
      <c r="AE59" t="str">
        <f t="shared" si="11"/>
        <v>Clothing</v>
      </c>
      <c r="AF59" t="str" cm="1">
        <f t="array" ref="AF59">IF(OR(F59=0,F59="0"),   _xlfn.XLOOKUP(E59, _xlfn._xlws.FILTER(E:E, (F:F&lt;&gt;"0")*(F:F&lt;&gt;0)), _xlfn._xlws.FILTER(F:F, (F:F&lt;&gt;"0")*(F:F&lt;&gt;0)), ""),F59)</f>
        <v>Clothing</v>
      </c>
    </row>
    <row r="60" spans="1:32" x14ac:dyDescent="0.3">
      <c r="A60">
        <v>158</v>
      </c>
      <c r="B60" t="s">
        <v>163</v>
      </c>
      <c r="C60" t="s">
        <v>164</v>
      </c>
      <c r="D60" s="1">
        <v>45752</v>
      </c>
      <c r="E60" t="s">
        <v>112</v>
      </c>
      <c r="F60" t="s">
        <v>20</v>
      </c>
      <c r="G60" s="6">
        <f t="shared" si="12"/>
        <v>1</v>
      </c>
      <c r="H60" s="2">
        <v>933.58</v>
      </c>
      <c r="I60" t="s">
        <v>15</v>
      </c>
      <c r="J60" t="s">
        <v>16</v>
      </c>
      <c r="K60" s="2">
        <v>933.58</v>
      </c>
      <c r="L60" s="2"/>
      <c r="M60" s="2"/>
      <c r="N60"/>
      <c r="O60" s="4">
        <v>5</v>
      </c>
      <c r="P60">
        <v>4</v>
      </c>
      <c r="Q60">
        <v>2025</v>
      </c>
      <c r="R60" s="1">
        <f t="shared" si="13"/>
        <v>45752</v>
      </c>
      <c r="T60">
        <v>1</v>
      </c>
      <c r="U60">
        <f t="shared" si="5"/>
        <v>1</v>
      </c>
      <c r="V60">
        <f t="shared" si="6"/>
        <v>1</v>
      </c>
      <c r="W60">
        <f t="shared" si="7"/>
        <v>1</v>
      </c>
      <c r="X60">
        <f t="shared" si="8"/>
        <v>1</v>
      </c>
      <c r="Z60" s="6">
        <f t="shared" si="9"/>
        <v>1</v>
      </c>
      <c r="AA60">
        <f t="shared" si="14"/>
        <v>933.58</v>
      </c>
      <c r="AB60" s="2">
        <f t="shared" si="10"/>
        <v>933.58</v>
      </c>
      <c r="AC60" s="2">
        <f t="shared" si="15"/>
        <v>933.58</v>
      </c>
      <c r="AD60" t="str">
        <f t="shared" si="16"/>
        <v>Electronics</v>
      </c>
      <c r="AE60" t="str">
        <f t="shared" si="11"/>
        <v>Electronics</v>
      </c>
      <c r="AF60" t="str" cm="1">
        <f t="array" ref="AF60">IF(OR(F60=0,F60="0"),   _xlfn.XLOOKUP(E60, _xlfn._xlws.FILTER(E:E, (F:F&lt;&gt;"0")*(F:F&lt;&gt;0)), _xlfn._xlws.FILTER(F:F, (F:F&lt;&gt;"0")*(F:F&lt;&gt;0)), ""),F60)</f>
        <v>Electronics</v>
      </c>
    </row>
    <row r="61" spans="1:32" x14ac:dyDescent="0.3">
      <c r="A61">
        <v>159</v>
      </c>
      <c r="B61" t="s">
        <v>165</v>
      </c>
      <c r="C61" t="s">
        <v>166</v>
      </c>
      <c r="D61" s="1">
        <v>45866</v>
      </c>
      <c r="E61" t="s">
        <v>69</v>
      </c>
      <c r="F61" t="s">
        <v>14</v>
      </c>
      <c r="G61" s="6">
        <f t="shared" si="12"/>
        <v>3</v>
      </c>
      <c r="H61" s="2">
        <v>163.16</v>
      </c>
      <c r="I61" t="s">
        <v>21</v>
      </c>
      <c r="J61" t="s">
        <v>16</v>
      </c>
      <c r="K61" s="2">
        <v>489.48</v>
      </c>
      <c r="L61" s="2"/>
      <c r="M61" s="2"/>
      <c r="N61"/>
      <c r="O61" s="5">
        <v>28</v>
      </c>
      <c r="P61">
        <v>7</v>
      </c>
      <c r="Q61">
        <v>2025</v>
      </c>
      <c r="R61" s="1">
        <f t="shared" si="13"/>
        <v>45866</v>
      </c>
      <c r="T61">
        <v>3</v>
      </c>
      <c r="U61">
        <f t="shared" si="5"/>
        <v>3</v>
      </c>
      <c r="V61">
        <f t="shared" si="6"/>
        <v>3</v>
      </c>
      <c r="W61">
        <f t="shared" si="7"/>
        <v>3</v>
      </c>
      <c r="X61">
        <f t="shared" si="8"/>
        <v>3</v>
      </c>
      <c r="Z61" s="6">
        <f t="shared" si="9"/>
        <v>3</v>
      </c>
      <c r="AA61">
        <f t="shared" si="14"/>
        <v>163.16</v>
      </c>
      <c r="AB61" s="2">
        <f t="shared" si="10"/>
        <v>163.16</v>
      </c>
      <c r="AC61" s="2">
        <f t="shared" si="15"/>
        <v>489.48</v>
      </c>
      <c r="AD61" t="str">
        <f t="shared" si="16"/>
        <v>Home</v>
      </c>
      <c r="AE61" t="str">
        <f t="shared" si="11"/>
        <v>Home</v>
      </c>
      <c r="AF61" t="str" cm="1">
        <f t="array" ref="AF61">IF(OR(F61=0,F61="0"),   _xlfn.XLOOKUP(E61, _xlfn._xlws.FILTER(E:E, (F:F&lt;&gt;"0")*(F:F&lt;&gt;0)), _xlfn._xlws.FILTER(F:F, (F:F&lt;&gt;"0")*(F:F&lt;&gt;0)), ""),F61)</f>
        <v>Home</v>
      </c>
    </row>
    <row r="62" spans="1:32" x14ac:dyDescent="0.3">
      <c r="A62">
        <v>160</v>
      </c>
      <c r="B62" t="s">
        <v>167</v>
      </c>
      <c r="C62" t="s">
        <v>168</v>
      </c>
      <c r="D62" s="1">
        <v>45660</v>
      </c>
      <c r="E62" t="s">
        <v>30</v>
      </c>
      <c r="F62" t="s">
        <v>31</v>
      </c>
      <c r="G62" s="6">
        <f t="shared" si="12"/>
        <v>5</v>
      </c>
      <c r="H62" s="2">
        <v>242.52</v>
      </c>
      <c r="I62" t="s">
        <v>15</v>
      </c>
      <c r="J62" t="s">
        <v>43</v>
      </c>
      <c r="K62" s="2">
        <v>1212.6000000000001</v>
      </c>
      <c r="L62" s="2"/>
      <c r="M62" s="2"/>
      <c r="N62"/>
      <c r="O62" s="4">
        <v>3</v>
      </c>
      <c r="P62">
        <v>1</v>
      </c>
      <c r="Q62">
        <v>2025</v>
      </c>
      <c r="R62" s="1">
        <f t="shared" si="13"/>
        <v>45660</v>
      </c>
      <c r="T62">
        <v>5</v>
      </c>
      <c r="U62">
        <f t="shared" si="5"/>
        <v>5</v>
      </c>
      <c r="V62">
        <f t="shared" si="6"/>
        <v>5</v>
      </c>
      <c r="W62">
        <f t="shared" si="7"/>
        <v>5</v>
      </c>
      <c r="X62">
        <f t="shared" si="8"/>
        <v>5</v>
      </c>
      <c r="Z62" s="6">
        <f t="shared" si="9"/>
        <v>5</v>
      </c>
      <c r="AA62">
        <f t="shared" si="14"/>
        <v>242.52</v>
      </c>
      <c r="AB62" s="2">
        <f t="shared" si="10"/>
        <v>242.52</v>
      </c>
      <c r="AC62" s="2">
        <f t="shared" si="15"/>
        <v>1212.6000000000001</v>
      </c>
      <c r="AD62" t="str">
        <f t="shared" si="16"/>
        <v>Books</v>
      </c>
      <c r="AE62" t="str">
        <f t="shared" si="11"/>
        <v>Books</v>
      </c>
      <c r="AF62" t="str" cm="1">
        <f t="array" ref="AF62">IF(OR(F62=0,F62="0"),   _xlfn.XLOOKUP(E62, _xlfn._xlws.FILTER(E:E, (F:F&lt;&gt;"0")*(F:F&lt;&gt;0)), _xlfn._xlws.FILTER(F:F, (F:F&lt;&gt;"0")*(F:F&lt;&gt;0)), ""),F62)</f>
        <v>Books</v>
      </c>
    </row>
    <row r="63" spans="1:32" x14ac:dyDescent="0.3">
      <c r="A63">
        <v>161</v>
      </c>
      <c r="B63" t="s">
        <v>169</v>
      </c>
      <c r="C63" t="s">
        <v>170</v>
      </c>
      <c r="D63" s="1">
        <v>45641</v>
      </c>
      <c r="E63" t="s">
        <v>30</v>
      </c>
      <c r="F63" t="s">
        <v>31</v>
      </c>
      <c r="G63" s="6">
        <f t="shared" si="12"/>
        <v>4</v>
      </c>
      <c r="H63" s="2">
        <v>209.32</v>
      </c>
      <c r="I63" t="s">
        <v>40</v>
      </c>
      <c r="J63" t="s">
        <v>16</v>
      </c>
      <c r="K63" s="2">
        <v>837.28</v>
      </c>
      <c r="L63" s="2"/>
      <c r="M63" s="2"/>
      <c r="N63"/>
      <c r="O63" s="5">
        <v>15</v>
      </c>
      <c r="P63">
        <v>12</v>
      </c>
      <c r="Q63">
        <v>2024</v>
      </c>
      <c r="R63" s="1">
        <f t="shared" si="13"/>
        <v>45641</v>
      </c>
      <c r="T63">
        <v>4</v>
      </c>
      <c r="U63">
        <f t="shared" si="5"/>
        <v>4</v>
      </c>
      <c r="V63">
        <f t="shared" si="6"/>
        <v>4</v>
      </c>
      <c r="W63">
        <f t="shared" si="7"/>
        <v>4</v>
      </c>
      <c r="X63">
        <f t="shared" si="8"/>
        <v>4</v>
      </c>
      <c r="Z63" s="6">
        <f t="shared" si="9"/>
        <v>4</v>
      </c>
      <c r="AA63">
        <f t="shared" si="14"/>
        <v>209.32</v>
      </c>
      <c r="AB63" s="2">
        <f t="shared" si="10"/>
        <v>209.32</v>
      </c>
      <c r="AC63" s="2">
        <f t="shared" si="15"/>
        <v>837.28</v>
      </c>
      <c r="AD63" t="str">
        <f t="shared" si="16"/>
        <v>Books</v>
      </c>
      <c r="AE63" t="str">
        <f t="shared" si="11"/>
        <v>Books</v>
      </c>
      <c r="AF63" t="str" cm="1">
        <f t="array" ref="AF63">IF(OR(F63=0,F63="0"),   _xlfn.XLOOKUP(E63, _xlfn._xlws.FILTER(E:E, (F:F&lt;&gt;"0")*(F:F&lt;&gt;0)), _xlfn._xlws.FILTER(F:F, (F:F&lt;&gt;"0")*(F:F&lt;&gt;0)), ""),F63)</f>
        <v>Books</v>
      </c>
    </row>
    <row r="64" spans="1:32" x14ac:dyDescent="0.3">
      <c r="A64">
        <v>162</v>
      </c>
      <c r="B64" t="s">
        <v>171</v>
      </c>
      <c r="C64" t="s">
        <v>172</v>
      </c>
      <c r="D64" s="1">
        <v>45796</v>
      </c>
      <c r="E64" t="s">
        <v>13</v>
      </c>
      <c r="F64" t="s">
        <v>14</v>
      </c>
      <c r="G64" s="6">
        <f t="shared" si="12"/>
        <v>2</v>
      </c>
      <c r="H64" s="2">
        <v>155.76</v>
      </c>
      <c r="I64" t="s">
        <v>48</v>
      </c>
      <c r="J64" t="s">
        <v>43</v>
      </c>
      <c r="K64" s="2">
        <v>311.52</v>
      </c>
      <c r="L64" s="2"/>
      <c r="M64" s="2"/>
      <c r="N64"/>
      <c r="O64" s="4">
        <v>19</v>
      </c>
      <c r="P64">
        <v>5</v>
      </c>
      <c r="Q64">
        <v>2025</v>
      </c>
      <c r="R64" s="1">
        <f t="shared" si="13"/>
        <v>45796</v>
      </c>
      <c r="T64">
        <v>2</v>
      </c>
      <c r="U64">
        <f t="shared" si="5"/>
        <v>2</v>
      </c>
      <c r="V64">
        <f t="shared" si="6"/>
        <v>2</v>
      </c>
      <c r="W64">
        <f t="shared" si="7"/>
        <v>2</v>
      </c>
      <c r="X64">
        <f t="shared" si="8"/>
        <v>2</v>
      </c>
      <c r="Z64" s="6">
        <f t="shared" si="9"/>
        <v>2</v>
      </c>
      <c r="AA64">
        <f t="shared" si="14"/>
        <v>155.76</v>
      </c>
      <c r="AB64" s="2">
        <f t="shared" si="10"/>
        <v>155.76</v>
      </c>
      <c r="AC64" s="2">
        <f t="shared" si="15"/>
        <v>311.52</v>
      </c>
      <c r="AD64" t="str">
        <f t="shared" si="16"/>
        <v>Home</v>
      </c>
      <c r="AE64" t="str">
        <f t="shared" si="11"/>
        <v>Home</v>
      </c>
      <c r="AF64" t="str" cm="1">
        <f t="array" ref="AF64">IF(OR(F64=0,F64="0"),   _xlfn.XLOOKUP(E64, _xlfn._xlws.FILTER(E:E, (F:F&lt;&gt;"0")*(F:F&lt;&gt;0)), _xlfn._xlws.FILTER(F:F, (F:F&lt;&gt;"0")*(F:F&lt;&gt;0)), ""),F64)</f>
        <v>Home</v>
      </c>
    </row>
    <row r="65" spans="1:32" x14ac:dyDescent="0.3">
      <c r="A65">
        <v>163</v>
      </c>
      <c r="B65" t="s">
        <v>173</v>
      </c>
      <c r="C65" t="s">
        <v>174</v>
      </c>
      <c r="D65" s="1">
        <v>44931</v>
      </c>
      <c r="E65" t="s">
        <v>112</v>
      </c>
      <c r="F65" t="s">
        <v>20</v>
      </c>
      <c r="G65" s="6">
        <f t="shared" si="12"/>
        <v>3</v>
      </c>
      <c r="H65" s="2">
        <v>235.26</v>
      </c>
      <c r="I65" t="s">
        <v>15</v>
      </c>
      <c r="J65" t="s">
        <v>16</v>
      </c>
      <c r="K65" s="2">
        <v>705.78</v>
      </c>
      <c r="L65" s="2"/>
      <c r="M65" s="2"/>
      <c r="N65"/>
      <c r="O65" s="5">
        <v>5</v>
      </c>
      <c r="P65">
        <v>1</v>
      </c>
      <c r="Q65">
        <v>2023</v>
      </c>
      <c r="R65" s="1">
        <f t="shared" si="13"/>
        <v>44931</v>
      </c>
      <c r="T65">
        <v>3</v>
      </c>
      <c r="U65">
        <f t="shared" si="5"/>
        <v>3</v>
      </c>
      <c r="V65">
        <f t="shared" si="6"/>
        <v>3</v>
      </c>
      <c r="W65">
        <f t="shared" si="7"/>
        <v>3</v>
      </c>
      <c r="X65">
        <f t="shared" si="8"/>
        <v>3</v>
      </c>
      <c r="Z65" s="6">
        <f t="shared" si="9"/>
        <v>3</v>
      </c>
      <c r="AA65">
        <f t="shared" si="14"/>
        <v>235.26</v>
      </c>
      <c r="AB65" s="2">
        <f t="shared" si="10"/>
        <v>235.26</v>
      </c>
      <c r="AC65" s="2">
        <f t="shared" si="15"/>
        <v>705.78</v>
      </c>
      <c r="AD65" t="str">
        <f t="shared" si="16"/>
        <v>Electronics</v>
      </c>
      <c r="AE65" t="str">
        <f t="shared" si="11"/>
        <v>Electronics</v>
      </c>
      <c r="AF65" t="str" cm="1">
        <f t="array" ref="AF65">IF(OR(F65=0,F65="0"),   _xlfn.XLOOKUP(E65, _xlfn._xlws.FILTER(E:E, (F:F&lt;&gt;"0")*(F:F&lt;&gt;0)), _xlfn._xlws.FILTER(F:F, (F:F&lt;&gt;"0")*(F:F&lt;&gt;0)), ""),F65)</f>
        <v>Electronics</v>
      </c>
    </row>
    <row r="66" spans="1:32" x14ac:dyDescent="0.3">
      <c r="A66">
        <v>164</v>
      </c>
      <c r="B66" t="s">
        <v>175</v>
      </c>
      <c r="C66" t="s">
        <v>176</v>
      </c>
      <c r="D66" s="1">
        <v>45697</v>
      </c>
      <c r="E66" t="s">
        <v>25</v>
      </c>
      <c r="F66" t="s">
        <v>26</v>
      </c>
      <c r="G66" s="6">
        <f t="shared" ref="G66:G101" si="17">IF(OR(W66="",W66=0),AVERAGEIF(W:W,"&gt;0"),W66)</f>
        <v>3.0744680851063828</v>
      </c>
      <c r="H66" s="2">
        <v>587.64</v>
      </c>
      <c r="I66" t="s">
        <v>48</v>
      </c>
      <c r="J66" t="s">
        <v>43</v>
      </c>
      <c r="K66" s="2">
        <v>1806.6804255319148</v>
      </c>
      <c r="L66" s="2"/>
      <c r="M66" s="2"/>
      <c r="N66"/>
      <c r="O66" s="4">
        <v>9</v>
      </c>
      <c r="P66">
        <v>2</v>
      </c>
      <c r="Q66">
        <v>2025</v>
      </c>
      <c r="R66" s="1">
        <f t="shared" ref="R66:R97" si="18">IFERROR(DATE(Q66,P66,DAY(O66)),DATEVALUE(O66))</f>
        <v>45697</v>
      </c>
      <c r="U66">
        <f>IFERROR(VALUE(T66),"")</f>
        <v>0</v>
      </c>
      <c r="V66">
        <f t="shared" si="6"/>
        <v>0</v>
      </c>
      <c r="W66">
        <f t="shared" si="7"/>
        <v>0</v>
      </c>
      <c r="X66" t="str">
        <f t="shared" si="8"/>
        <v/>
      </c>
      <c r="Z66" s="6">
        <f t="shared" si="9"/>
        <v>3.0744680851063828</v>
      </c>
      <c r="AA66">
        <f t="shared" ref="AA66:AA101" si="19">IFERROR(IF(VALUE(SUBSTITUTE(SUBSTITUTE(SUBSTITUTE(SUBSTITUTE(H66,"₹",""),"$",""),",","")," ",""))&lt;0,"",VALUE(SUBSTITUTE(SUBSTITUTE(SUBSTITUTE(SUBSTITUTE(H66,"₹",""),"$",""),",","")," ",""))),"")</f>
        <v>587.64</v>
      </c>
      <c r="AB66" s="2">
        <f t="shared" si="10"/>
        <v>587.64</v>
      </c>
      <c r="AC66" s="2">
        <f t="shared" ref="AC66:AC101" si="20">G66*H66</f>
        <v>1806.6804255319148</v>
      </c>
      <c r="AD66" t="str">
        <f t="shared" ref="AD66:AD101" si="21">IF(F66&lt;&gt;"", F66, _xlfn.XLOOKUP(E66, E:E, F:F, ""))</f>
        <v>Sports</v>
      </c>
      <c r="AE66" t="str">
        <f t="shared" si="11"/>
        <v>Sports</v>
      </c>
      <c r="AF66" t="str" cm="1">
        <f t="array" ref="AF66">IF(OR(F66=0,F66="0"),   _xlfn.XLOOKUP(E66, _xlfn._xlws.FILTER(E:E, (F:F&lt;&gt;"0")*(F:F&lt;&gt;0)), _xlfn._xlws.FILTER(F:F, (F:F&lt;&gt;"0")*(F:F&lt;&gt;0)), ""),F66)</f>
        <v>Sports</v>
      </c>
    </row>
    <row r="67" spans="1:32" x14ac:dyDescent="0.3">
      <c r="A67">
        <v>165</v>
      </c>
      <c r="B67" t="s">
        <v>177</v>
      </c>
      <c r="C67" t="s">
        <v>178</v>
      </c>
      <c r="D67" s="1">
        <v>45604</v>
      </c>
      <c r="E67" t="s">
        <v>57</v>
      </c>
      <c r="F67" t="s">
        <v>58</v>
      </c>
      <c r="G67" s="6">
        <f t="shared" si="17"/>
        <v>2</v>
      </c>
      <c r="H67" s="2">
        <v>443.13</v>
      </c>
      <c r="I67" t="s">
        <v>48</v>
      </c>
      <c r="J67" t="s">
        <v>27</v>
      </c>
      <c r="K67" s="2">
        <v>886.26</v>
      </c>
      <c r="L67" s="2"/>
      <c r="M67" s="2"/>
      <c r="N67"/>
      <c r="O67" s="5">
        <v>8</v>
      </c>
      <c r="P67">
        <v>11</v>
      </c>
      <c r="Q67">
        <v>2024</v>
      </c>
      <c r="R67" s="1">
        <f t="shared" si="18"/>
        <v>45604</v>
      </c>
      <c r="T67">
        <v>2</v>
      </c>
      <c r="U67">
        <f t="shared" si="5"/>
        <v>2</v>
      </c>
      <c r="V67">
        <f t="shared" ref="V67:V101" si="22">IF(U67&lt;0,ABS(U67),U67)</f>
        <v>2</v>
      </c>
      <c r="W67">
        <f t="shared" ref="W67:W101" si="23">IF(V67="","",V67)</f>
        <v>2</v>
      </c>
      <c r="X67">
        <f t="shared" ref="X67:X101" si="24">IF(OR(W67="",W67=0),"",W67)</f>
        <v>2</v>
      </c>
      <c r="Z67" s="6">
        <f t="shared" ref="Z67:Z101" si="25">IF(OR(W67="",W67=0),AVERAGEIF(W:W,"&gt;0"),W67)</f>
        <v>2</v>
      </c>
      <c r="AA67">
        <f t="shared" si="19"/>
        <v>443.13</v>
      </c>
      <c r="AB67" s="2">
        <f t="shared" ref="AB67:AB101" si="26">IF(AA67="",AVERAGE(AA:AA),AA67)</f>
        <v>443.13</v>
      </c>
      <c r="AC67" s="2">
        <f t="shared" si="20"/>
        <v>886.26</v>
      </c>
      <c r="AD67" t="str">
        <f t="shared" si="21"/>
        <v>Clothing</v>
      </c>
      <c r="AE67" t="str">
        <f t="shared" ref="AE67:AE101" si="27">PROPER(TRIM(F67))</f>
        <v>Clothing</v>
      </c>
      <c r="AF67" t="str" cm="1">
        <f t="array" ref="AF67">IF(OR(F67=0,F67="0"),   _xlfn.XLOOKUP(E67, _xlfn._xlws.FILTER(E:E, (F:F&lt;&gt;"0")*(F:F&lt;&gt;0)), _xlfn._xlws.FILTER(F:F, (F:F&lt;&gt;"0")*(F:F&lt;&gt;0)), ""),F67)</f>
        <v>Clothing</v>
      </c>
    </row>
    <row r="68" spans="1:32" x14ac:dyDescent="0.3">
      <c r="A68">
        <v>166</v>
      </c>
      <c r="B68" t="s">
        <v>179</v>
      </c>
      <c r="C68" t="s">
        <v>180</v>
      </c>
      <c r="D68" s="1">
        <v>45841</v>
      </c>
      <c r="E68" t="s">
        <v>109</v>
      </c>
      <c r="F68" t="s">
        <v>20</v>
      </c>
      <c r="G68" s="6">
        <f t="shared" si="17"/>
        <v>2</v>
      </c>
      <c r="H68" s="2">
        <v>569.38</v>
      </c>
      <c r="I68" t="s">
        <v>15</v>
      </c>
      <c r="J68" t="s">
        <v>16</v>
      </c>
      <c r="K68" s="2">
        <v>1138.76</v>
      </c>
      <c r="L68" s="2"/>
      <c r="M68" s="2"/>
      <c r="N68"/>
      <c r="O68" s="4">
        <v>3</v>
      </c>
      <c r="P68">
        <v>7</v>
      </c>
      <c r="Q68">
        <v>2025</v>
      </c>
      <c r="R68" s="1">
        <f t="shared" si="18"/>
        <v>45841</v>
      </c>
      <c r="T68">
        <v>2</v>
      </c>
      <c r="U68">
        <f t="shared" ref="U68:U74" si="28">IFERROR(VALUE(T68),"")</f>
        <v>2</v>
      </c>
      <c r="V68">
        <f t="shared" si="22"/>
        <v>2</v>
      </c>
      <c r="W68">
        <f t="shared" si="23"/>
        <v>2</v>
      </c>
      <c r="X68">
        <f t="shared" si="24"/>
        <v>2</v>
      </c>
      <c r="Z68" s="6">
        <f t="shared" si="25"/>
        <v>2</v>
      </c>
      <c r="AA68">
        <f t="shared" si="19"/>
        <v>569.38</v>
      </c>
      <c r="AB68" s="2">
        <f t="shared" si="26"/>
        <v>569.38</v>
      </c>
      <c r="AC68" s="2">
        <f t="shared" si="20"/>
        <v>1138.76</v>
      </c>
      <c r="AD68" t="str">
        <f t="shared" si="21"/>
        <v>Electronics</v>
      </c>
      <c r="AE68" t="str">
        <f t="shared" si="27"/>
        <v>Electronics</v>
      </c>
      <c r="AF68" t="str" cm="1">
        <f t="array" ref="AF68">IF(OR(F68=0,F68="0"),   _xlfn.XLOOKUP(E68, _xlfn._xlws.FILTER(E:E, (F:F&lt;&gt;"0")*(F:F&lt;&gt;0)), _xlfn._xlws.FILTER(F:F, (F:F&lt;&gt;"0")*(F:F&lt;&gt;0)), ""),F68)</f>
        <v>Electronics</v>
      </c>
    </row>
    <row r="69" spans="1:32" x14ac:dyDescent="0.3">
      <c r="A69">
        <v>167</v>
      </c>
      <c r="B69" t="s">
        <v>181</v>
      </c>
      <c r="C69" t="s">
        <v>182</v>
      </c>
      <c r="D69" s="1">
        <v>45876</v>
      </c>
      <c r="E69" t="s">
        <v>51</v>
      </c>
      <c r="F69" t="s">
        <v>26</v>
      </c>
      <c r="G69" s="6">
        <f t="shared" si="17"/>
        <v>3.0744680851063828</v>
      </c>
      <c r="H69" s="2">
        <v>593.92999999999995</v>
      </c>
      <c r="I69" t="s">
        <v>15</v>
      </c>
      <c r="J69" t="s">
        <v>22</v>
      </c>
      <c r="K69" s="2">
        <v>1826.0188297872337</v>
      </c>
      <c r="L69" s="2"/>
      <c r="M69" s="2"/>
      <c r="N69"/>
      <c r="O69" s="5">
        <v>7</v>
      </c>
      <c r="P69">
        <v>8</v>
      </c>
      <c r="Q69">
        <v>2025</v>
      </c>
      <c r="R69" s="1">
        <f t="shared" si="18"/>
        <v>45876</v>
      </c>
      <c r="U69">
        <f t="shared" si="28"/>
        <v>0</v>
      </c>
      <c r="V69">
        <f t="shared" si="22"/>
        <v>0</v>
      </c>
      <c r="W69">
        <f t="shared" si="23"/>
        <v>0</v>
      </c>
      <c r="X69" t="str">
        <f t="shared" si="24"/>
        <v/>
      </c>
      <c r="Z69" s="6">
        <f t="shared" si="25"/>
        <v>3.0744680851063828</v>
      </c>
      <c r="AA69">
        <f t="shared" si="19"/>
        <v>593.92999999999995</v>
      </c>
      <c r="AB69" s="2">
        <f t="shared" si="26"/>
        <v>593.92999999999995</v>
      </c>
      <c r="AC69" s="2">
        <f t="shared" si="20"/>
        <v>1826.0188297872337</v>
      </c>
      <c r="AD69" t="str">
        <f t="shared" si="21"/>
        <v>Sports</v>
      </c>
      <c r="AE69" t="str">
        <f t="shared" si="27"/>
        <v>Sports</v>
      </c>
      <c r="AF69" t="str" cm="1">
        <f t="array" ref="AF69">IF(OR(F69=0,F69="0"),   _xlfn.XLOOKUP(E69, _xlfn._xlws.FILTER(E:E, (F:F&lt;&gt;"0")*(F:F&lt;&gt;0)), _xlfn._xlws.FILTER(F:F, (F:F&lt;&gt;"0")*(F:F&lt;&gt;0)), ""),F69)</f>
        <v>Sports</v>
      </c>
    </row>
    <row r="70" spans="1:32" x14ac:dyDescent="0.3">
      <c r="A70">
        <v>168</v>
      </c>
      <c r="B70" t="s">
        <v>183</v>
      </c>
      <c r="C70" t="s">
        <v>184</v>
      </c>
      <c r="D70" s="1">
        <v>45965</v>
      </c>
      <c r="E70" t="s">
        <v>34</v>
      </c>
      <c r="F70" t="s">
        <v>31</v>
      </c>
      <c r="G70" s="6">
        <f t="shared" si="17"/>
        <v>2</v>
      </c>
      <c r="H70" s="2">
        <v>141.49</v>
      </c>
      <c r="I70" t="s">
        <v>21</v>
      </c>
      <c r="J70" t="s">
        <v>37</v>
      </c>
      <c r="K70" s="2">
        <v>282.98</v>
      </c>
      <c r="L70" s="2"/>
      <c r="M70" s="2"/>
      <c r="N70"/>
      <c r="O70" s="4">
        <v>4</v>
      </c>
      <c r="P70">
        <v>11</v>
      </c>
      <c r="Q70">
        <v>2025</v>
      </c>
      <c r="R70" s="1">
        <f t="shared" si="18"/>
        <v>45965</v>
      </c>
      <c r="T70">
        <v>2</v>
      </c>
      <c r="U70">
        <f t="shared" si="28"/>
        <v>2</v>
      </c>
      <c r="V70">
        <f t="shared" si="22"/>
        <v>2</v>
      </c>
      <c r="W70">
        <f t="shared" si="23"/>
        <v>2</v>
      </c>
      <c r="X70">
        <f t="shared" si="24"/>
        <v>2</v>
      </c>
      <c r="Z70" s="6">
        <f t="shared" si="25"/>
        <v>2</v>
      </c>
      <c r="AA70">
        <f t="shared" si="19"/>
        <v>141.49</v>
      </c>
      <c r="AB70" s="2">
        <f t="shared" si="26"/>
        <v>141.49</v>
      </c>
      <c r="AC70" s="2">
        <f t="shared" si="20"/>
        <v>282.98</v>
      </c>
      <c r="AD70" t="str">
        <f t="shared" si="21"/>
        <v>Books</v>
      </c>
      <c r="AE70" t="str">
        <f t="shared" si="27"/>
        <v>Books</v>
      </c>
      <c r="AF70" t="str" cm="1">
        <f t="array" ref="AF70">IF(OR(F70=0,F70="0"),   _xlfn.XLOOKUP(E70, _xlfn._xlws.FILTER(E:E, (F:F&lt;&gt;"0")*(F:F&lt;&gt;0)), _xlfn._xlws.FILTER(F:F, (F:F&lt;&gt;"0")*(F:F&lt;&gt;0)), ""),F70)</f>
        <v>Books</v>
      </c>
    </row>
    <row r="71" spans="1:32" x14ac:dyDescent="0.3">
      <c r="A71">
        <v>169</v>
      </c>
      <c r="B71" t="s">
        <v>185</v>
      </c>
      <c r="C71" t="s">
        <v>186</v>
      </c>
      <c r="D71" s="1">
        <v>45881</v>
      </c>
      <c r="E71" t="s">
        <v>51</v>
      </c>
      <c r="F71" t="s">
        <v>26</v>
      </c>
      <c r="G71" s="6">
        <f t="shared" si="17"/>
        <v>1</v>
      </c>
      <c r="H71" s="2">
        <v>582.13</v>
      </c>
      <c r="I71" t="s">
        <v>48</v>
      </c>
      <c r="J71" t="s">
        <v>43</v>
      </c>
      <c r="K71" s="2">
        <v>582.13</v>
      </c>
      <c r="L71" s="2"/>
      <c r="M71" s="2"/>
      <c r="N71"/>
      <c r="O71" s="5">
        <v>12</v>
      </c>
      <c r="P71">
        <v>8</v>
      </c>
      <c r="Q71">
        <v>2025</v>
      </c>
      <c r="R71" s="1">
        <f t="shared" si="18"/>
        <v>45881</v>
      </c>
      <c r="T71">
        <v>1</v>
      </c>
      <c r="U71">
        <f t="shared" si="28"/>
        <v>1</v>
      </c>
      <c r="V71">
        <f t="shared" si="22"/>
        <v>1</v>
      </c>
      <c r="W71">
        <f t="shared" si="23"/>
        <v>1</v>
      </c>
      <c r="X71">
        <f t="shared" si="24"/>
        <v>1</v>
      </c>
      <c r="Z71" s="6">
        <f t="shared" si="25"/>
        <v>1</v>
      </c>
      <c r="AA71">
        <f t="shared" si="19"/>
        <v>582.13</v>
      </c>
      <c r="AB71" s="2">
        <f t="shared" si="26"/>
        <v>582.13</v>
      </c>
      <c r="AC71" s="2">
        <f t="shared" si="20"/>
        <v>582.13</v>
      </c>
      <c r="AD71" t="str">
        <f t="shared" si="21"/>
        <v>Sports</v>
      </c>
      <c r="AE71" t="str">
        <f t="shared" si="27"/>
        <v>Sports</v>
      </c>
      <c r="AF71" t="str" cm="1">
        <f t="array" ref="AF71">IF(OR(F71=0,F71="0"),   _xlfn.XLOOKUP(E71, _xlfn._xlws.FILTER(E:E, (F:F&lt;&gt;"0")*(F:F&lt;&gt;0)), _xlfn._xlws.FILTER(F:F, (F:F&lt;&gt;"0")*(F:F&lt;&gt;0)), ""),F71)</f>
        <v>Sports</v>
      </c>
    </row>
    <row r="72" spans="1:32" x14ac:dyDescent="0.3">
      <c r="A72">
        <v>170</v>
      </c>
      <c r="B72" t="s">
        <v>187</v>
      </c>
      <c r="C72" t="s">
        <v>188</v>
      </c>
      <c r="D72" s="1">
        <v>45933</v>
      </c>
      <c r="E72" t="s">
        <v>160</v>
      </c>
      <c r="F72" t="s">
        <v>58</v>
      </c>
      <c r="G72" s="6">
        <f t="shared" si="17"/>
        <v>5</v>
      </c>
      <c r="H72" s="2">
        <v>741.63</v>
      </c>
      <c r="I72" t="s">
        <v>40</v>
      </c>
      <c r="J72" t="s">
        <v>22</v>
      </c>
      <c r="K72" s="2">
        <v>3708.15</v>
      </c>
      <c r="L72" s="2"/>
      <c r="M72" s="2"/>
      <c r="N72"/>
      <c r="O72" s="4">
        <v>3</v>
      </c>
      <c r="P72">
        <v>10</v>
      </c>
      <c r="Q72">
        <v>2025</v>
      </c>
      <c r="R72" s="1">
        <f t="shared" si="18"/>
        <v>45933</v>
      </c>
      <c r="T72">
        <v>5</v>
      </c>
      <c r="U72">
        <f>IFERROR(VALUE(T72),"")</f>
        <v>5</v>
      </c>
      <c r="V72">
        <f t="shared" si="22"/>
        <v>5</v>
      </c>
      <c r="W72">
        <f t="shared" si="23"/>
        <v>5</v>
      </c>
      <c r="X72">
        <f t="shared" si="24"/>
        <v>5</v>
      </c>
      <c r="Z72" s="6">
        <f t="shared" si="25"/>
        <v>5</v>
      </c>
      <c r="AA72">
        <f t="shared" si="19"/>
        <v>741.63</v>
      </c>
      <c r="AB72" s="2">
        <f t="shared" si="26"/>
        <v>741.63</v>
      </c>
      <c r="AC72" s="2">
        <f t="shared" si="20"/>
        <v>3708.15</v>
      </c>
      <c r="AD72" t="str">
        <f t="shared" si="21"/>
        <v>Clothing</v>
      </c>
      <c r="AE72" t="str">
        <f t="shared" si="27"/>
        <v>Clothing</v>
      </c>
      <c r="AF72" t="str" cm="1">
        <f t="array" ref="AF72">IF(OR(F72=0,F72="0"),   _xlfn.XLOOKUP(E72, _xlfn._xlws.FILTER(E:E, (F:F&lt;&gt;"0")*(F:F&lt;&gt;0)), _xlfn._xlws.FILTER(F:F, (F:F&lt;&gt;"0")*(F:F&lt;&gt;0)), ""),F72)</f>
        <v>Clothing</v>
      </c>
    </row>
    <row r="73" spans="1:32" x14ac:dyDescent="0.3">
      <c r="A73">
        <v>171</v>
      </c>
      <c r="B73" t="s">
        <v>189</v>
      </c>
      <c r="C73" t="s">
        <v>190</v>
      </c>
      <c r="D73" s="1">
        <v>45632</v>
      </c>
      <c r="E73" t="s">
        <v>57</v>
      </c>
      <c r="F73" t="s">
        <v>58</v>
      </c>
      <c r="G73" s="6">
        <f t="shared" si="17"/>
        <v>3</v>
      </c>
      <c r="H73" s="2">
        <v>688.68</v>
      </c>
      <c r="I73" t="s">
        <v>21</v>
      </c>
      <c r="J73" t="s">
        <v>22</v>
      </c>
      <c r="K73" s="2">
        <v>2066.04</v>
      </c>
      <c r="L73" s="2"/>
      <c r="M73" s="2"/>
      <c r="N73"/>
      <c r="O73" s="5">
        <v>6</v>
      </c>
      <c r="P73">
        <v>12</v>
      </c>
      <c r="Q73">
        <v>2024</v>
      </c>
      <c r="R73" s="1">
        <f t="shared" si="18"/>
        <v>45632</v>
      </c>
      <c r="T73">
        <v>3</v>
      </c>
      <c r="U73">
        <f t="shared" si="28"/>
        <v>3</v>
      </c>
      <c r="V73">
        <f t="shared" si="22"/>
        <v>3</v>
      </c>
      <c r="W73">
        <f t="shared" si="23"/>
        <v>3</v>
      </c>
      <c r="X73">
        <f t="shared" si="24"/>
        <v>3</v>
      </c>
      <c r="Z73" s="6">
        <f t="shared" si="25"/>
        <v>3</v>
      </c>
      <c r="AA73">
        <f t="shared" si="19"/>
        <v>688.68</v>
      </c>
      <c r="AB73" s="2">
        <f t="shared" si="26"/>
        <v>688.68</v>
      </c>
      <c r="AC73" s="2">
        <f t="shared" si="20"/>
        <v>2066.04</v>
      </c>
      <c r="AD73" t="str">
        <f t="shared" si="21"/>
        <v>Clothing</v>
      </c>
      <c r="AE73" t="str">
        <f t="shared" si="27"/>
        <v>Clothing</v>
      </c>
      <c r="AF73" t="str" cm="1">
        <f t="array" ref="AF73">IF(OR(F73=0,F73="0"),   _xlfn.XLOOKUP(E73, _xlfn._xlws.FILTER(E:E, (F:F&lt;&gt;"0")*(F:F&lt;&gt;0)), _xlfn._xlws.FILTER(F:F, (F:F&lt;&gt;"0")*(F:F&lt;&gt;0)), ""),F73)</f>
        <v>Clothing</v>
      </c>
    </row>
    <row r="74" spans="1:32" x14ac:dyDescent="0.3">
      <c r="A74">
        <v>172</v>
      </c>
      <c r="B74" t="s">
        <v>191</v>
      </c>
      <c r="C74" t="s">
        <v>192</v>
      </c>
      <c r="D74" s="1">
        <v>45614</v>
      </c>
      <c r="E74" t="s">
        <v>54</v>
      </c>
      <c r="F74" t="s">
        <v>31</v>
      </c>
      <c r="G74" s="6">
        <f t="shared" si="17"/>
        <v>2</v>
      </c>
      <c r="H74" s="2">
        <v>942.76</v>
      </c>
      <c r="I74" t="s">
        <v>40</v>
      </c>
      <c r="J74" t="s">
        <v>43</v>
      </c>
      <c r="K74" s="2">
        <v>1885.52</v>
      </c>
      <c r="L74" s="2"/>
      <c r="M74" s="2"/>
      <c r="N74"/>
      <c r="O74" s="4">
        <v>18</v>
      </c>
      <c r="P74">
        <v>11</v>
      </c>
      <c r="Q74">
        <v>2024</v>
      </c>
      <c r="R74" s="1">
        <f t="shared" si="18"/>
        <v>45614</v>
      </c>
      <c r="T74">
        <v>2</v>
      </c>
      <c r="U74">
        <f t="shared" si="28"/>
        <v>2</v>
      </c>
      <c r="V74">
        <f t="shared" si="22"/>
        <v>2</v>
      </c>
      <c r="W74">
        <f t="shared" si="23"/>
        <v>2</v>
      </c>
      <c r="X74">
        <f t="shared" si="24"/>
        <v>2</v>
      </c>
      <c r="Z74" s="6">
        <f t="shared" si="25"/>
        <v>2</v>
      </c>
      <c r="AA74">
        <f t="shared" si="19"/>
        <v>942.76</v>
      </c>
      <c r="AB74" s="2">
        <f t="shared" si="26"/>
        <v>942.76</v>
      </c>
      <c r="AC74" s="2">
        <f t="shared" si="20"/>
        <v>1885.52</v>
      </c>
      <c r="AD74" t="str">
        <f t="shared" si="21"/>
        <v>Books</v>
      </c>
      <c r="AE74" t="str">
        <f t="shared" si="27"/>
        <v>Books</v>
      </c>
      <c r="AF74" t="str" cm="1">
        <f t="array" ref="AF74">IF(OR(F74=0,F74="0"),   _xlfn.XLOOKUP(E74, _xlfn._xlws.FILTER(E:E, (F:F&lt;&gt;"0")*(F:F&lt;&gt;0)), _xlfn._xlws.FILTER(F:F, (F:F&lt;&gt;"0")*(F:F&lt;&gt;0)), ""),F74)</f>
        <v>Books</v>
      </c>
    </row>
    <row r="75" spans="1:32" x14ac:dyDescent="0.3">
      <c r="A75">
        <v>173</v>
      </c>
      <c r="B75" t="s">
        <v>193</v>
      </c>
      <c r="C75" t="s">
        <v>194</v>
      </c>
      <c r="D75" s="1">
        <v>45941</v>
      </c>
      <c r="E75" t="s">
        <v>96</v>
      </c>
      <c r="F75" t="s">
        <v>14</v>
      </c>
      <c r="G75" s="6">
        <f t="shared" si="17"/>
        <v>5</v>
      </c>
      <c r="H75" s="2">
        <v>351.89</v>
      </c>
      <c r="I75" t="s">
        <v>48</v>
      </c>
      <c r="J75" t="s">
        <v>16</v>
      </c>
      <c r="K75" s="2">
        <v>1759.4499999999998</v>
      </c>
      <c r="L75" s="2"/>
      <c r="M75" s="2"/>
      <c r="N75"/>
      <c r="O75" s="5">
        <v>11</v>
      </c>
      <c r="P75">
        <v>10</v>
      </c>
      <c r="Q75">
        <v>2025</v>
      </c>
      <c r="R75" s="1">
        <f t="shared" si="18"/>
        <v>45941</v>
      </c>
      <c r="T75">
        <v>5</v>
      </c>
      <c r="U75">
        <f>IFERROR(VALUE(T75),"")</f>
        <v>5</v>
      </c>
      <c r="V75">
        <f t="shared" si="22"/>
        <v>5</v>
      </c>
      <c r="W75">
        <f t="shared" si="23"/>
        <v>5</v>
      </c>
      <c r="X75">
        <f t="shared" si="24"/>
        <v>5</v>
      </c>
      <c r="Z75" s="6">
        <f t="shared" si="25"/>
        <v>5</v>
      </c>
      <c r="AA75">
        <f t="shared" si="19"/>
        <v>351.89</v>
      </c>
      <c r="AB75" s="2">
        <f t="shared" si="26"/>
        <v>351.89</v>
      </c>
      <c r="AC75" s="2">
        <f t="shared" si="20"/>
        <v>1759.4499999999998</v>
      </c>
      <c r="AD75" t="str">
        <f t="shared" si="21"/>
        <v>Home</v>
      </c>
      <c r="AE75" t="str">
        <f t="shared" si="27"/>
        <v>Home</v>
      </c>
      <c r="AF75" t="str" cm="1">
        <f t="array" ref="AF75">IF(OR(F75=0,F75="0"),   _xlfn.XLOOKUP(E75, _xlfn._xlws.FILTER(E:E, (F:F&lt;&gt;"0")*(F:F&lt;&gt;0)), _xlfn._xlws.FILTER(F:F, (F:F&lt;&gt;"0")*(F:F&lt;&gt;0)), ""),F75)</f>
        <v>Home</v>
      </c>
    </row>
    <row r="76" spans="1:32" x14ac:dyDescent="0.3">
      <c r="A76">
        <v>174</v>
      </c>
      <c r="B76" t="s">
        <v>195</v>
      </c>
      <c r="C76" t="s">
        <v>196</v>
      </c>
      <c r="D76" s="1">
        <v>45920</v>
      </c>
      <c r="E76" t="s">
        <v>69</v>
      </c>
      <c r="F76" t="s">
        <v>20</v>
      </c>
      <c r="G76" s="6">
        <f t="shared" si="17"/>
        <v>4</v>
      </c>
      <c r="H76" s="2">
        <v>187.48</v>
      </c>
      <c r="I76" t="s">
        <v>48</v>
      </c>
      <c r="J76" t="s">
        <v>43</v>
      </c>
      <c r="K76" s="2">
        <v>749.92</v>
      </c>
      <c r="L76" s="2"/>
      <c r="M76" s="2"/>
      <c r="N76"/>
      <c r="O76" s="4">
        <v>20</v>
      </c>
      <c r="P76">
        <v>9</v>
      </c>
      <c r="Q76">
        <v>2025</v>
      </c>
      <c r="R76" s="1">
        <f t="shared" si="18"/>
        <v>45920</v>
      </c>
      <c r="T76">
        <v>4</v>
      </c>
      <c r="U76">
        <f t="shared" ref="U76:U94" si="29">IFERROR(VALUE(T76),"")</f>
        <v>4</v>
      </c>
      <c r="V76">
        <f t="shared" si="22"/>
        <v>4</v>
      </c>
      <c r="W76">
        <f t="shared" si="23"/>
        <v>4</v>
      </c>
      <c r="X76">
        <f t="shared" si="24"/>
        <v>4</v>
      </c>
      <c r="Z76" s="6">
        <f t="shared" si="25"/>
        <v>4</v>
      </c>
      <c r="AA76">
        <f t="shared" si="19"/>
        <v>187.48</v>
      </c>
      <c r="AB76" s="2">
        <f t="shared" si="26"/>
        <v>187.48</v>
      </c>
      <c r="AC76" s="2">
        <f t="shared" si="20"/>
        <v>749.92</v>
      </c>
      <c r="AD76" t="str">
        <f t="shared" si="21"/>
        <v>Electronics</v>
      </c>
      <c r="AE76" t="str">
        <f t="shared" si="27"/>
        <v>Electronics</v>
      </c>
      <c r="AF76" t="str" cm="1">
        <f t="array" ref="AF76">IF(OR(F76=0,F76="0"),   _xlfn.XLOOKUP(E76, _xlfn._xlws.FILTER(E:E, (F:F&lt;&gt;"0")*(F:F&lt;&gt;0)), _xlfn._xlws.FILTER(F:F, (F:F&lt;&gt;"0")*(F:F&lt;&gt;0)), ""),F76)</f>
        <v>Electronics</v>
      </c>
    </row>
    <row r="77" spans="1:32" x14ac:dyDescent="0.3">
      <c r="A77">
        <v>175</v>
      </c>
      <c r="B77" t="s">
        <v>197</v>
      </c>
      <c r="C77" t="s">
        <v>198</v>
      </c>
      <c r="D77" s="1">
        <v>45712</v>
      </c>
      <c r="E77" t="s">
        <v>115</v>
      </c>
      <c r="F77" t="s">
        <v>20</v>
      </c>
      <c r="G77" s="6">
        <f t="shared" si="17"/>
        <v>1</v>
      </c>
      <c r="H77" s="2">
        <v>111.36</v>
      </c>
      <c r="I77" t="s">
        <v>48</v>
      </c>
      <c r="J77" t="s">
        <v>22</v>
      </c>
      <c r="K77" s="2">
        <v>111.36</v>
      </c>
      <c r="L77" s="2"/>
      <c r="M77" s="2"/>
      <c r="N77"/>
      <c r="O77" s="5">
        <v>24</v>
      </c>
      <c r="P77">
        <v>2</v>
      </c>
      <c r="Q77">
        <v>2025</v>
      </c>
      <c r="R77" s="1">
        <f t="shared" si="18"/>
        <v>45712</v>
      </c>
      <c r="T77">
        <v>1</v>
      </c>
      <c r="U77">
        <f t="shared" si="29"/>
        <v>1</v>
      </c>
      <c r="V77">
        <f t="shared" si="22"/>
        <v>1</v>
      </c>
      <c r="W77">
        <f t="shared" si="23"/>
        <v>1</v>
      </c>
      <c r="X77">
        <f t="shared" si="24"/>
        <v>1</v>
      </c>
      <c r="Z77" s="6">
        <f t="shared" si="25"/>
        <v>1</v>
      </c>
      <c r="AA77">
        <f t="shared" si="19"/>
        <v>111.36</v>
      </c>
      <c r="AB77" s="2">
        <f t="shared" si="26"/>
        <v>111.36</v>
      </c>
      <c r="AC77" s="2">
        <f t="shared" si="20"/>
        <v>111.36</v>
      </c>
      <c r="AD77" t="str">
        <f t="shared" si="21"/>
        <v>Electronics</v>
      </c>
      <c r="AE77" t="str">
        <f t="shared" si="27"/>
        <v>Electronics</v>
      </c>
      <c r="AF77" t="str" cm="1">
        <f t="array" ref="AF77">IF(OR(F77=0,F77="0"),   _xlfn.XLOOKUP(E77, _xlfn._xlws.FILTER(E:E, (F:F&lt;&gt;"0")*(F:F&lt;&gt;0)), _xlfn._xlws.FILTER(F:F, (F:F&lt;&gt;"0")*(F:F&lt;&gt;0)), ""),F77)</f>
        <v>Electronics</v>
      </c>
    </row>
    <row r="78" spans="1:32" x14ac:dyDescent="0.3">
      <c r="A78">
        <v>176</v>
      </c>
      <c r="B78" t="s">
        <v>199</v>
      </c>
      <c r="C78" t="s">
        <v>200</v>
      </c>
      <c r="D78" s="1">
        <v>45860</v>
      </c>
      <c r="E78" t="s">
        <v>54</v>
      </c>
      <c r="F78" t="s">
        <v>31</v>
      </c>
      <c r="G78" s="6">
        <f t="shared" si="17"/>
        <v>5</v>
      </c>
      <c r="H78" s="2">
        <v>530.52</v>
      </c>
      <c r="I78" t="s">
        <v>15</v>
      </c>
      <c r="J78" t="s">
        <v>16</v>
      </c>
      <c r="K78" s="2">
        <v>2652.6</v>
      </c>
      <c r="L78" s="2"/>
      <c r="M78" s="2"/>
      <c r="N78"/>
      <c r="O78" s="4">
        <v>22</v>
      </c>
      <c r="P78">
        <v>7</v>
      </c>
      <c r="Q78">
        <v>2025</v>
      </c>
      <c r="R78" s="1">
        <f t="shared" si="18"/>
        <v>45860</v>
      </c>
      <c r="T78">
        <v>5</v>
      </c>
      <c r="U78">
        <f t="shared" si="29"/>
        <v>5</v>
      </c>
      <c r="V78">
        <f t="shared" si="22"/>
        <v>5</v>
      </c>
      <c r="W78">
        <f t="shared" si="23"/>
        <v>5</v>
      </c>
      <c r="X78">
        <f t="shared" si="24"/>
        <v>5</v>
      </c>
      <c r="Z78" s="6">
        <f t="shared" si="25"/>
        <v>5</v>
      </c>
      <c r="AA78">
        <f t="shared" si="19"/>
        <v>530.52</v>
      </c>
      <c r="AB78" s="2">
        <f t="shared" si="26"/>
        <v>530.52</v>
      </c>
      <c r="AC78" s="2">
        <f t="shared" si="20"/>
        <v>2652.6</v>
      </c>
      <c r="AD78" t="str">
        <f t="shared" si="21"/>
        <v>Books</v>
      </c>
      <c r="AE78" t="str">
        <f t="shared" si="27"/>
        <v>Books</v>
      </c>
      <c r="AF78" t="str" cm="1">
        <f t="array" ref="AF78">IF(OR(F78=0,F78="0"),   _xlfn.XLOOKUP(E78, _xlfn._xlws.FILTER(E:E, (F:F&lt;&gt;"0")*(F:F&lt;&gt;0)), _xlfn._xlws.FILTER(F:F, (F:F&lt;&gt;"0")*(F:F&lt;&gt;0)), ""),F78)</f>
        <v>Books</v>
      </c>
    </row>
    <row r="79" spans="1:32" x14ac:dyDescent="0.3">
      <c r="A79">
        <v>177</v>
      </c>
      <c r="B79" t="s">
        <v>201</v>
      </c>
      <c r="C79" t="s">
        <v>202</v>
      </c>
      <c r="D79" s="1">
        <v>45866</v>
      </c>
      <c r="E79" t="s">
        <v>135</v>
      </c>
      <c r="F79" t="s">
        <v>20</v>
      </c>
      <c r="G79" s="6">
        <f t="shared" si="17"/>
        <v>1</v>
      </c>
      <c r="H79" s="2">
        <v>69.48</v>
      </c>
      <c r="I79" t="s">
        <v>40</v>
      </c>
      <c r="J79" t="s">
        <v>43</v>
      </c>
      <c r="K79" s="2">
        <v>69.48</v>
      </c>
      <c r="L79" s="2"/>
      <c r="M79" s="2"/>
      <c r="N79"/>
      <c r="O79" s="5">
        <v>28</v>
      </c>
      <c r="P79">
        <v>7</v>
      </c>
      <c r="Q79">
        <v>2025</v>
      </c>
      <c r="R79" s="1">
        <f t="shared" si="18"/>
        <v>45866</v>
      </c>
      <c r="T79">
        <v>1</v>
      </c>
      <c r="U79">
        <f t="shared" si="29"/>
        <v>1</v>
      </c>
      <c r="V79">
        <f t="shared" si="22"/>
        <v>1</v>
      </c>
      <c r="W79">
        <f t="shared" si="23"/>
        <v>1</v>
      </c>
      <c r="X79">
        <f t="shared" si="24"/>
        <v>1</v>
      </c>
      <c r="Z79" s="6">
        <f t="shared" si="25"/>
        <v>1</v>
      </c>
      <c r="AA79">
        <f t="shared" si="19"/>
        <v>69.48</v>
      </c>
      <c r="AB79" s="2">
        <f t="shared" si="26"/>
        <v>69.48</v>
      </c>
      <c r="AC79" s="2">
        <f t="shared" si="20"/>
        <v>69.48</v>
      </c>
      <c r="AD79" t="str">
        <f t="shared" si="21"/>
        <v>Electronics</v>
      </c>
      <c r="AE79" t="str">
        <f t="shared" si="27"/>
        <v>Electronics</v>
      </c>
      <c r="AF79" t="str" cm="1">
        <f t="array" ref="AF79">IF(OR(F79=0,F79="0"),   _xlfn.XLOOKUP(E79, _xlfn._xlws.FILTER(E:E, (F:F&lt;&gt;"0")*(F:F&lt;&gt;0)), _xlfn._xlws.FILTER(F:F, (F:F&lt;&gt;"0")*(F:F&lt;&gt;0)), ""),F79)</f>
        <v>Electronics</v>
      </c>
    </row>
    <row r="80" spans="1:32" x14ac:dyDescent="0.3">
      <c r="A80">
        <v>178</v>
      </c>
      <c r="B80" t="s">
        <v>203</v>
      </c>
      <c r="C80" t="s">
        <v>204</v>
      </c>
      <c r="D80" s="1">
        <v>45918</v>
      </c>
      <c r="E80" t="s">
        <v>25</v>
      </c>
      <c r="F80" t="s">
        <v>26</v>
      </c>
      <c r="G80" s="6">
        <f t="shared" si="17"/>
        <v>3</v>
      </c>
      <c r="H80" s="2">
        <v>472.14</v>
      </c>
      <c r="I80" t="s">
        <v>21</v>
      </c>
      <c r="J80" t="s">
        <v>43</v>
      </c>
      <c r="K80" s="2">
        <v>1416.42</v>
      </c>
      <c r="L80" s="2"/>
      <c r="M80" s="2"/>
      <c r="N80"/>
      <c r="O80" s="4">
        <v>18</v>
      </c>
      <c r="P80">
        <v>9</v>
      </c>
      <c r="Q80">
        <v>2025</v>
      </c>
      <c r="R80" s="1">
        <f t="shared" si="18"/>
        <v>45918</v>
      </c>
      <c r="T80">
        <v>3</v>
      </c>
      <c r="U80">
        <f t="shared" si="29"/>
        <v>3</v>
      </c>
      <c r="V80">
        <f t="shared" si="22"/>
        <v>3</v>
      </c>
      <c r="W80">
        <f t="shared" si="23"/>
        <v>3</v>
      </c>
      <c r="X80">
        <f t="shared" si="24"/>
        <v>3</v>
      </c>
      <c r="Z80" s="6">
        <f t="shared" si="25"/>
        <v>3</v>
      </c>
      <c r="AA80">
        <f t="shared" si="19"/>
        <v>472.14</v>
      </c>
      <c r="AB80" s="2">
        <f t="shared" si="26"/>
        <v>472.14</v>
      </c>
      <c r="AC80" s="2">
        <f t="shared" si="20"/>
        <v>1416.42</v>
      </c>
      <c r="AD80" t="str">
        <f t="shared" si="21"/>
        <v>Sports</v>
      </c>
      <c r="AE80" t="str">
        <f t="shared" si="27"/>
        <v>Sports</v>
      </c>
      <c r="AF80" t="str" cm="1">
        <f t="array" ref="AF80">IF(OR(F80=0,F80="0"),   _xlfn.XLOOKUP(E80, _xlfn._xlws.FILTER(E:E, (F:F&lt;&gt;"0")*(F:F&lt;&gt;0)), _xlfn._xlws.FILTER(F:F, (F:F&lt;&gt;"0")*(F:F&lt;&gt;0)), ""),F80)</f>
        <v>Sports</v>
      </c>
    </row>
    <row r="81" spans="1:32" x14ac:dyDescent="0.3">
      <c r="A81">
        <v>179</v>
      </c>
      <c r="B81" t="s">
        <v>205</v>
      </c>
      <c r="C81" t="s">
        <v>206</v>
      </c>
      <c r="D81" s="1">
        <v>45903</v>
      </c>
      <c r="E81" t="s">
        <v>78</v>
      </c>
      <c r="F81" t="s">
        <v>26</v>
      </c>
      <c r="G81" s="6">
        <f t="shared" si="17"/>
        <v>3</v>
      </c>
      <c r="H81" s="2">
        <v>868.67</v>
      </c>
      <c r="I81" t="s">
        <v>21</v>
      </c>
      <c r="J81" t="s">
        <v>27</v>
      </c>
      <c r="K81" s="2">
        <v>2606.0099999999998</v>
      </c>
      <c r="L81" s="2"/>
      <c r="M81" s="2"/>
      <c r="N81"/>
      <c r="O81" s="5">
        <v>3</v>
      </c>
      <c r="P81">
        <v>9</v>
      </c>
      <c r="Q81">
        <v>2025</v>
      </c>
      <c r="R81" s="1">
        <f t="shared" si="18"/>
        <v>45903</v>
      </c>
      <c r="T81">
        <v>3</v>
      </c>
      <c r="U81">
        <f>IFERROR(VALUE(T81),"")</f>
        <v>3</v>
      </c>
      <c r="V81">
        <f t="shared" si="22"/>
        <v>3</v>
      </c>
      <c r="W81">
        <f t="shared" si="23"/>
        <v>3</v>
      </c>
      <c r="X81">
        <f t="shared" si="24"/>
        <v>3</v>
      </c>
      <c r="Z81" s="6">
        <f t="shared" si="25"/>
        <v>3</v>
      </c>
      <c r="AA81">
        <f t="shared" si="19"/>
        <v>868.67</v>
      </c>
      <c r="AB81" s="2">
        <f t="shared" si="26"/>
        <v>868.67</v>
      </c>
      <c r="AC81" s="2">
        <f t="shared" si="20"/>
        <v>2606.0099999999998</v>
      </c>
      <c r="AD81" t="str">
        <f t="shared" si="21"/>
        <v>Sports</v>
      </c>
      <c r="AE81" t="str">
        <f t="shared" si="27"/>
        <v>Sports</v>
      </c>
      <c r="AF81" t="str" cm="1">
        <f t="array" ref="AF81">IF(OR(F81=0,F81="0"),   _xlfn.XLOOKUP(E81, _xlfn._xlws.FILTER(E:E, (F:F&lt;&gt;"0")*(F:F&lt;&gt;0)), _xlfn._xlws.FILTER(F:F, (F:F&lt;&gt;"0")*(F:F&lt;&gt;0)), ""),F81)</f>
        <v>Sports</v>
      </c>
    </row>
    <row r="82" spans="1:32" x14ac:dyDescent="0.3">
      <c r="A82">
        <v>180</v>
      </c>
      <c r="B82" t="s">
        <v>207</v>
      </c>
      <c r="C82" t="s">
        <v>208</v>
      </c>
      <c r="D82" s="1">
        <v>45742</v>
      </c>
      <c r="E82" t="s">
        <v>135</v>
      </c>
      <c r="F82" t="s">
        <v>20</v>
      </c>
      <c r="G82" s="6">
        <f t="shared" si="17"/>
        <v>2</v>
      </c>
      <c r="H82" s="2">
        <v>418.38</v>
      </c>
      <c r="I82" t="s">
        <v>48</v>
      </c>
      <c r="J82" t="s">
        <v>22</v>
      </c>
      <c r="K82" s="2">
        <v>836.76</v>
      </c>
      <c r="L82" s="2"/>
      <c r="M82" s="2"/>
      <c r="N82"/>
      <c r="O82" s="4">
        <v>26</v>
      </c>
      <c r="P82">
        <v>3</v>
      </c>
      <c r="Q82">
        <v>2025</v>
      </c>
      <c r="R82" s="1">
        <f t="shared" si="18"/>
        <v>45742</v>
      </c>
      <c r="T82">
        <v>2</v>
      </c>
      <c r="U82">
        <f t="shared" si="29"/>
        <v>2</v>
      </c>
      <c r="V82">
        <f t="shared" si="22"/>
        <v>2</v>
      </c>
      <c r="W82">
        <f t="shared" si="23"/>
        <v>2</v>
      </c>
      <c r="X82">
        <f t="shared" si="24"/>
        <v>2</v>
      </c>
      <c r="Z82" s="6">
        <f t="shared" si="25"/>
        <v>2</v>
      </c>
      <c r="AA82">
        <f t="shared" si="19"/>
        <v>418.38</v>
      </c>
      <c r="AB82" s="2">
        <f t="shared" si="26"/>
        <v>418.38</v>
      </c>
      <c r="AC82" s="2">
        <f t="shared" si="20"/>
        <v>836.76</v>
      </c>
      <c r="AD82" t="str">
        <f t="shared" si="21"/>
        <v>Electronics</v>
      </c>
      <c r="AE82" t="str">
        <f t="shared" si="27"/>
        <v>Electronics</v>
      </c>
      <c r="AF82" t="str" cm="1">
        <f t="array" ref="AF82">IF(OR(F82=0,F82="0"),   _xlfn.XLOOKUP(E82, _xlfn._xlws.FILTER(E:E, (F:F&lt;&gt;"0")*(F:F&lt;&gt;0)), _xlfn._xlws.FILTER(F:F, (F:F&lt;&gt;"0")*(F:F&lt;&gt;0)), ""),F82)</f>
        <v>Electronics</v>
      </c>
    </row>
    <row r="83" spans="1:32" x14ac:dyDescent="0.3">
      <c r="A83">
        <v>181</v>
      </c>
      <c r="B83" t="s">
        <v>209</v>
      </c>
      <c r="C83" t="s">
        <v>210</v>
      </c>
      <c r="D83" s="1">
        <v>45655</v>
      </c>
      <c r="E83" t="s">
        <v>19</v>
      </c>
      <c r="F83" t="s">
        <v>20</v>
      </c>
      <c r="G83" s="6">
        <f t="shared" si="17"/>
        <v>1</v>
      </c>
      <c r="H83" s="2">
        <v>266.48</v>
      </c>
      <c r="I83" t="s">
        <v>15</v>
      </c>
      <c r="J83" t="s">
        <v>37</v>
      </c>
      <c r="K83" s="2">
        <v>266.48</v>
      </c>
      <c r="L83" s="2"/>
      <c r="M83" s="2"/>
      <c r="N83"/>
      <c r="O83" s="5">
        <v>29</v>
      </c>
      <c r="P83">
        <v>12</v>
      </c>
      <c r="Q83">
        <v>2024</v>
      </c>
      <c r="R83" s="1">
        <f t="shared" si="18"/>
        <v>45655</v>
      </c>
      <c r="T83">
        <v>1</v>
      </c>
      <c r="U83">
        <f t="shared" si="29"/>
        <v>1</v>
      </c>
      <c r="V83">
        <f t="shared" si="22"/>
        <v>1</v>
      </c>
      <c r="W83">
        <f t="shared" si="23"/>
        <v>1</v>
      </c>
      <c r="X83">
        <f t="shared" si="24"/>
        <v>1</v>
      </c>
      <c r="Z83" s="6">
        <f t="shared" si="25"/>
        <v>1</v>
      </c>
      <c r="AA83">
        <f t="shared" si="19"/>
        <v>266.48</v>
      </c>
      <c r="AB83" s="2">
        <f t="shared" si="26"/>
        <v>266.48</v>
      </c>
      <c r="AC83" s="2">
        <f t="shared" si="20"/>
        <v>266.48</v>
      </c>
      <c r="AD83" t="str">
        <f t="shared" si="21"/>
        <v>Electronics</v>
      </c>
      <c r="AE83" t="str">
        <f t="shared" si="27"/>
        <v>Electronics</v>
      </c>
      <c r="AF83" t="str" cm="1">
        <f t="array" ref="AF83">IF(OR(F83=0,F83="0"),   _xlfn.XLOOKUP(E83, _xlfn._xlws.FILTER(E:E, (F:F&lt;&gt;"0")*(F:F&lt;&gt;0)), _xlfn._xlws.FILTER(F:F, (F:F&lt;&gt;"0")*(F:F&lt;&gt;0)), ""),F83)</f>
        <v>Electronics</v>
      </c>
    </row>
    <row r="84" spans="1:32" x14ac:dyDescent="0.3">
      <c r="A84">
        <v>182</v>
      </c>
      <c r="B84" t="s">
        <v>211</v>
      </c>
      <c r="C84" t="s">
        <v>212</v>
      </c>
      <c r="D84" s="1">
        <v>45872</v>
      </c>
      <c r="E84" t="s">
        <v>57</v>
      </c>
      <c r="F84" t="s">
        <v>58</v>
      </c>
      <c r="G84" s="6">
        <f t="shared" si="17"/>
        <v>4</v>
      </c>
      <c r="H84" s="2">
        <v>538.35</v>
      </c>
      <c r="I84" t="s">
        <v>21</v>
      </c>
      <c r="J84" t="s">
        <v>22</v>
      </c>
      <c r="K84" s="2">
        <v>2153.4</v>
      </c>
      <c r="L84" s="2"/>
      <c r="M84" s="2"/>
      <c r="N84"/>
      <c r="O84" s="4">
        <v>3</v>
      </c>
      <c r="P84">
        <v>8</v>
      </c>
      <c r="Q84">
        <v>2025</v>
      </c>
      <c r="R84" s="1">
        <f t="shared" si="18"/>
        <v>45872</v>
      </c>
      <c r="T84">
        <v>4</v>
      </c>
      <c r="U84">
        <f t="shared" si="29"/>
        <v>4</v>
      </c>
      <c r="V84">
        <f t="shared" si="22"/>
        <v>4</v>
      </c>
      <c r="W84">
        <f t="shared" si="23"/>
        <v>4</v>
      </c>
      <c r="X84">
        <f t="shared" si="24"/>
        <v>4</v>
      </c>
      <c r="Z84" s="6">
        <f t="shared" si="25"/>
        <v>4</v>
      </c>
      <c r="AA84">
        <f t="shared" si="19"/>
        <v>538.35</v>
      </c>
      <c r="AB84" s="2">
        <f t="shared" si="26"/>
        <v>538.35</v>
      </c>
      <c r="AC84" s="2">
        <f t="shared" si="20"/>
        <v>2153.4</v>
      </c>
      <c r="AD84" t="str">
        <f t="shared" si="21"/>
        <v>Clothing</v>
      </c>
      <c r="AE84" t="str">
        <f t="shared" si="27"/>
        <v>Clothing</v>
      </c>
      <c r="AF84" t="str" cm="1">
        <f t="array" ref="AF84">IF(OR(F84=0,F84="0"),   _xlfn.XLOOKUP(E84, _xlfn._xlws.FILTER(E:E, (F:F&lt;&gt;"0")*(F:F&lt;&gt;0)), _xlfn._xlws.FILTER(F:F, (F:F&lt;&gt;"0")*(F:F&lt;&gt;0)), ""),F84)</f>
        <v>Clothing</v>
      </c>
    </row>
    <row r="85" spans="1:32" x14ac:dyDescent="0.3">
      <c r="A85">
        <v>183</v>
      </c>
      <c r="B85" t="s">
        <v>213</v>
      </c>
      <c r="C85" t="s">
        <v>214</v>
      </c>
      <c r="D85" s="1">
        <v>45726</v>
      </c>
      <c r="E85" t="s">
        <v>57</v>
      </c>
      <c r="F85" t="s">
        <v>58</v>
      </c>
      <c r="G85" s="6">
        <f t="shared" si="17"/>
        <v>5</v>
      </c>
      <c r="H85" s="2">
        <v>621.52978021978015</v>
      </c>
      <c r="I85" t="s">
        <v>15</v>
      </c>
      <c r="J85" t="s">
        <v>43</v>
      </c>
      <c r="K85" s="2">
        <v>3107.6489010989008</v>
      </c>
      <c r="L85" s="2"/>
      <c r="M85" s="2"/>
      <c r="N85"/>
      <c r="O85" s="5">
        <v>10</v>
      </c>
      <c r="P85">
        <v>3</v>
      </c>
      <c r="Q85">
        <v>2025</v>
      </c>
      <c r="R85" s="1">
        <f t="shared" si="18"/>
        <v>45726</v>
      </c>
      <c r="T85">
        <v>5</v>
      </c>
      <c r="U85">
        <f t="shared" si="29"/>
        <v>5</v>
      </c>
      <c r="V85">
        <f t="shared" si="22"/>
        <v>5</v>
      </c>
      <c r="W85">
        <f t="shared" si="23"/>
        <v>5</v>
      </c>
      <c r="X85">
        <f t="shared" si="24"/>
        <v>5</v>
      </c>
      <c r="Z85" s="6">
        <f t="shared" si="25"/>
        <v>5</v>
      </c>
      <c r="AA85">
        <f t="shared" si="19"/>
        <v>621.52978021978004</v>
      </c>
      <c r="AB85" s="2">
        <f t="shared" si="26"/>
        <v>621.52978021978004</v>
      </c>
      <c r="AC85" s="2">
        <f t="shared" si="20"/>
        <v>3107.6489010989008</v>
      </c>
      <c r="AD85" t="str">
        <f t="shared" si="21"/>
        <v>Clothing</v>
      </c>
      <c r="AE85" t="str">
        <f t="shared" si="27"/>
        <v>Clothing</v>
      </c>
      <c r="AF85" t="str" cm="1">
        <f t="array" ref="AF85">IF(OR(F85=0,F85="0"),   _xlfn.XLOOKUP(E85, _xlfn._xlws.FILTER(E:E, (F:F&lt;&gt;"0")*(F:F&lt;&gt;0)), _xlfn._xlws.FILTER(F:F, (F:F&lt;&gt;"0")*(F:F&lt;&gt;0)), ""),F85)</f>
        <v>Clothing</v>
      </c>
    </row>
    <row r="86" spans="1:32" x14ac:dyDescent="0.3">
      <c r="A86">
        <v>184</v>
      </c>
      <c r="B86" t="s">
        <v>215</v>
      </c>
      <c r="C86" t="s">
        <v>216</v>
      </c>
      <c r="D86" s="1">
        <v>45703</v>
      </c>
      <c r="E86" t="s">
        <v>160</v>
      </c>
      <c r="F86" t="s">
        <v>58</v>
      </c>
      <c r="G86" s="6">
        <f t="shared" si="17"/>
        <v>4</v>
      </c>
      <c r="H86" s="2">
        <v>101.19</v>
      </c>
      <c r="I86" t="s">
        <v>40</v>
      </c>
      <c r="J86" t="s">
        <v>22</v>
      </c>
      <c r="K86" s="2">
        <v>404.76</v>
      </c>
      <c r="L86" s="2"/>
      <c r="M86" s="2"/>
      <c r="N86"/>
      <c r="O86" s="4">
        <v>15</v>
      </c>
      <c r="P86">
        <v>2</v>
      </c>
      <c r="Q86">
        <v>2025</v>
      </c>
      <c r="R86" s="1">
        <f t="shared" si="18"/>
        <v>45703</v>
      </c>
      <c r="T86">
        <v>4</v>
      </c>
      <c r="U86">
        <f t="shared" si="29"/>
        <v>4</v>
      </c>
      <c r="V86">
        <f t="shared" si="22"/>
        <v>4</v>
      </c>
      <c r="W86">
        <f t="shared" si="23"/>
        <v>4</v>
      </c>
      <c r="X86">
        <f t="shared" si="24"/>
        <v>4</v>
      </c>
      <c r="Z86" s="6">
        <f t="shared" si="25"/>
        <v>4</v>
      </c>
      <c r="AA86">
        <f t="shared" si="19"/>
        <v>101.19</v>
      </c>
      <c r="AB86" s="2">
        <f t="shared" si="26"/>
        <v>101.19</v>
      </c>
      <c r="AC86" s="2">
        <f t="shared" si="20"/>
        <v>404.76</v>
      </c>
      <c r="AD86" t="str">
        <f t="shared" si="21"/>
        <v>Clothing</v>
      </c>
      <c r="AE86" t="str">
        <f t="shared" si="27"/>
        <v>Clothing</v>
      </c>
      <c r="AF86" t="str" cm="1">
        <f t="array" ref="AF86">IF(OR(F86=0,F86="0"),   _xlfn.XLOOKUP(E86, _xlfn._xlws.FILTER(E:E, (F:F&lt;&gt;"0")*(F:F&lt;&gt;0)), _xlfn._xlws.FILTER(F:F, (F:F&lt;&gt;"0")*(F:F&lt;&gt;0)), ""),F86)</f>
        <v>Clothing</v>
      </c>
    </row>
    <row r="87" spans="1:32" x14ac:dyDescent="0.3">
      <c r="A87">
        <v>185</v>
      </c>
      <c r="B87" t="s">
        <v>217</v>
      </c>
      <c r="C87" t="s">
        <v>218</v>
      </c>
      <c r="D87" s="1">
        <v>45883</v>
      </c>
      <c r="E87" t="s">
        <v>132</v>
      </c>
      <c r="F87" t="s">
        <v>26</v>
      </c>
      <c r="G87" s="6">
        <f t="shared" si="17"/>
        <v>2</v>
      </c>
      <c r="H87" s="2">
        <v>730.92</v>
      </c>
      <c r="I87" t="s">
        <v>15</v>
      </c>
      <c r="J87" t="s">
        <v>37</v>
      </c>
      <c r="K87" s="2">
        <v>1461.84</v>
      </c>
      <c r="L87" s="2"/>
      <c r="M87" s="2"/>
      <c r="N87"/>
      <c r="O87" s="5">
        <v>14</v>
      </c>
      <c r="P87">
        <v>8</v>
      </c>
      <c r="Q87">
        <v>2025</v>
      </c>
      <c r="R87" s="1">
        <f t="shared" si="18"/>
        <v>45883</v>
      </c>
      <c r="T87">
        <v>2</v>
      </c>
      <c r="U87">
        <f t="shared" si="29"/>
        <v>2</v>
      </c>
      <c r="V87">
        <f t="shared" si="22"/>
        <v>2</v>
      </c>
      <c r="W87">
        <f t="shared" si="23"/>
        <v>2</v>
      </c>
      <c r="X87">
        <f t="shared" si="24"/>
        <v>2</v>
      </c>
      <c r="Z87" s="6">
        <f t="shared" si="25"/>
        <v>2</v>
      </c>
      <c r="AA87">
        <f t="shared" si="19"/>
        <v>730.92</v>
      </c>
      <c r="AB87" s="2">
        <f t="shared" si="26"/>
        <v>730.92</v>
      </c>
      <c r="AC87" s="2">
        <f t="shared" si="20"/>
        <v>1461.84</v>
      </c>
      <c r="AD87" t="str">
        <f t="shared" si="21"/>
        <v>Sports</v>
      </c>
      <c r="AE87" t="str">
        <f t="shared" si="27"/>
        <v>Sports</v>
      </c>
      <c r="AF87" t="str" cm="1">
        <f t="array" ref="AF87">IF(OR(F87=0,F87="0"),   _xlfn.XLOOKUP(E87, _xlfn._xlws.FILTER(E:E, (F:F&lt;&gt;"0")*(F:F&lt;&gt;0)), _xlfn._xlws.FILTER(F:F, (F:F&lt;&gt;"0")*(F:F&lt;&gt;0)), ""),F87)</f>
        <v>Sports</v>
      </c>
    </row>
    <row r="88" spans="1:32" x14ac:dyDescent="0.3">
      <c r="A88">
        <v>186</v>
      </c>
      <c r="B88" t="s">
        <v>219</v>
      </c>
      <c r="C88" t="s">
        <v>220</v>
      </c>
      <c r="D88" s="1">
        <v>45936</v>
      </c>
      <c r="E88" t="s">
        <v>135</v>
      </c>
      <c r="F88" t="s">
        <v>20</v>
      </c>
      <c r="G88" s="6">
        <f t="shared" si="17"/>
        <v>1</v>
      </c>
      <c r="H88" s="2">
        <v>365.34</v>
      </c>
      <c r="I88" t="s">
        <v>40</v>
      </c>
      <c r="J88" t="s">
        <v>27</v>
      </c>
      <c r="K88" s="2">
        <v>365.34</v>
      </c>
      <c r="L88" s="2"/>
      <c r="M88" s="2"/>
      <c r="N88"/>
      <c r="O88" s="4">
        <v>6</v>
      </c>
      <c r="P88">
        <v>10</v>
      </c>
      <c r="Q88">
        <v>2025</v>
      </c>
      <c r="R88" s="1">
        <f t="shared" si="18"/>
        <v>45936</v>
      </c>
      <c r="T88">
        <v>1</v>
      </c>
      <c r="U88">
        <f t="shared" si="29"/>
        <v>1</v>
      </c>
      <c r="V88">
        <f t="shared" si="22"/>
        <v>1</v>
      </c>
      <c r="W88">
        <f t="shared" si="23"/>
        <v>1</v>
      </c>
      <c r="X88">
        <f t="shared" si="24"/>
        <v>1</v>
      </c>
      <c r="Z88" s="6">
        <f t="shared" si="25"/>
        <v>1</v>
      </c>
      <c r="AA88">
        <f t="shared" si="19"/>
        <v>365.34</v>
      </c>
      <c r="AB88" s="2">
        <f t="shared" si="26"/>
        <v>365.34</v>
      </c>
      <c r="AC88" s="2">
        <f t="shared" si="20"/>
        <v>365.34</v>
      </c>
      <c r="AD88" t="str">
        <f t="shared" si="21"/>
        <v>Electronics</v>
      </c>
      <c r="AE88" t="str">
        <f t="shared" si="27"/>
        <v>Electronics</v>
      </c>
      <c r="AF88" t="str" cm="1">
        <f t="array" ref="AF88">IF(OR(F88=0,F88="0"),   _xlfn.XLOOKUP(E88, _xlfn._xlws.FILTER(E:E, (F:F&lt;&gt;"0")*(F:F&lt;&gt;0)), _xlfn._xlws.FILTER(F:F, (F:F&lt;&gt;"0")*(F:F&lt;&gt;0)), ""),F88)</f>
        <v>Electronics</v>
      </c>
    </row>
    <row r="89" spans="1:32" x14ac:dyDescent="0.3">
      <c r="A89">
        <v>187</v>
      </c>
      <c r="B89" t="s">
        <v>221</v>
      </c>
      <c r="C89" t="s">
        <v>222</v>
      </c>
      <c r="D89" s="1">
        <v>45615</v>
      </c>
      <c r="E89" t="s">
        <v>19</v>
      </c>
      <c r="F89" t="s">
        <v>20</v>
      </c>
      <c r="G89" s="6">
        <f t="shared" si="17"/>
        <v>3</v>
      </c>
      <c r="H89" s="2">
        <v>882.96</v>
      </c>
      <c r="I89" t="s">
        <v>40</v>
      </c>
      <c r="J89" t="s">
        <v>43</v>
      </c>
      <c r="K89" s="2">
        <v>2648.88</v>
      </c>
      <c r="L89" s="2"/>
      <c r="M89" s="2"/>
      <c r="N89"/>
      <c r="O89" s="5">
        <v>19</v>
      </c>
      <c r="P89">
        <v>11</v>
      </c>
      <c r="Q89">
        <v>2024</v>
      </c>
      <c r="R89" s="1">
        <f t="shared" si="18"/>
        <v>45615</v>
      </c>
      <c r="T89">
        <v>3</v>
      </c>
      <c r="U89">
        <f t="shared" si="29"/>
        <v>3</v>
      </c>
      <c r="V89">
        <f t="shared" si="22"/>
        <v>3</v>
      </c>
      <c r="W89">
        <f t="shared" si="23"/>
        <v>3</v>
      </c>
      <c r="X89">
        <f t="shared" si="24"/>
        <v>3</v>
      </c>
      <c r="Z89" s="6">
        <f t="shared" si="25"/>
        <v>3</v>
      </c>
      <c r="AA89">
        <f t="shared" si="19"/>
        <v>882.96</v>
      </c>
      <c r="AB89" s="2">
        <f t="shared" si="26"/>
        <v>882.96</v>
      </c>
      <c r="AC89" s="2">
        <f t="shared" si="20"/>
        <v>2648.88</v>
      </c>
      <c r="AD89" t="str">
        <f t="shared" si="21"/>
        <v>Electronics</v>
      </c>
      <c r="AE89" t="str">
        <f t="shared" si="27"/>
        <v>Electronics</v>
      </c>
      <c r="AF89" t="str" cm="1">
        <f t="array" ref="AF89">IF(OR(F89=0,F89="0"),   _xlfn.XLOOKUP(E89, _xlfn._xlws.FILTER(E:E, (F:F&lt;&gt;"0")*(F:F&lt;&gt;0)), _xlfn._xlws.FILTER(F:F, (F:F&lt;&gt;"0")*(F:F&lt;&gt;0)), ""),F89)</f>
        <v>Electronics</v>
      </c>
    </row>
    <row r="90" spans="1:32" x14ac:dyDescent="0.3">
      <c r="A90">
        <v>188</v>
      </c>
      <c r="B90" t="s">
        <v>223</v>
      </c>
      <c r="C90" t="s">
        <v>224</v>
      </c>
      <c r="D90" s="1">
        <v>45615</v>
      </c>
      <c r="E90" t="s">
        <v>69</v>
      </c>
      <c r="F90" t="s">
        <v>14</v>
      </c>
      <c r="G90" s="6">
        <f t="shared" si="17"/>
        <v>5</v>
      </c>
      <c r="H90" s="2">
        <v>504.05</v>
      </c>
      <c r="I90" t="s">
        <v>15</v>
      </c>
      <c r="J90" t="s">
        <v>16</v>
      </c>
      <c r="K90" s="2">
        <v>2520.25</v>
      </c>
      <c r="L90" s="2"/>
      <c r="M90" s="2"/>
      <c r="N90"/>
      <c r="O90" s="4">
        <v>19</v>
      </c>
      <c r="P90">
        <v>11</v>
      </c>
      <c r="Q90">
        <v>2024</v>
      </c>
      <c r="R90" s="1">
        <f t="shared" si="18"/>
        <v>45615</v>
      </c>
      <c r="T90">
        <v>5</v>
      </c>
      <c r="U90">
        <f t="shared" si="29"/>
        <v>5</v>
      </c>
      <c r="V90">
        <f t="shared" si="22"/>
        <v>5</v>
      </c>
      <c r="W90">
        <f t="shared" si="23"/>
        <v>5</v>
      </c>
      <c r="X90">
        <f t="shared" si="24"/>
        <v>5</v>
      </c>
      <c r="Z90" s="6">
        <f t="shared" si="25"/>
        <v>5</v>
      </c>
      <c r="AA90">
        <f t="shared" si="19"/>
        <v>504.05</v>
      </c>
      <c r="AB90" s="2">
        <f t="shared" si="26"/>
        <v>504.05</v>
      </c>
      <c r="AC90" s="2">
        <f t="shared" si="20"/>
        <v>2520.25</v>
      </c>
      <c r="AD90" t="str">
        <f t="shared" si="21"/>
        <v>Home</v>
      </c>
      <c r="AE90" t="str">
        <f t="shared" si="27"/>
        <v>Home</v>
      </c>
      <c r="AF90" t="str" cm="1">
        <f t="array" ref="AF90">IF(OR(F90=0,F90="0"),   _xlfn.XLOOKUP(E90, _xlfn._xlws.FILTER(E:E, (F:F&lt;&gt;"0")*(F:F&lt;&gt;0)), _xlfn._xlws.FILTER(F:F, (F:F&lt;&gt;"0")*(F:F&lt;&gt;0)), ""),F90)</f>
        <v>Home</v>
      </c>
    </row>
    <row r="91" spans="1:32" x14ac:dyDescent="0.3">
      <c r="A91">
        <v>189</v>
      </c>
      <c r="B91" t="s">
        <v>225</v>
      </c>
      <c r="C91" t="s">
        <v>226</v>
      </c>
      <c r="D91" s="1">
        <v>45883</v>
      </c>
      <c r="E91" t="s">
        <v>96</v>
      </c>
      <c r="F91" t="s">
        <v>14</v>
      </c>
      <c r="G91" s="6">
        <f t="shared" si="17"/>
        <v>1</v>
      </c>
      <c r="H91" s="2">
        <v>814.68</v>
      </c>
      <c r="I91" t="s">
        <v>15</v>
      </c>
      <c r="J91" t="s">
        <v>43</v>
      </c>
      <c r="K91" s="2">
        <v>814.68</v>
      </c>
      <c r="L91" s="2"/>
      <c r="M91" s="2"/>
      <c r="N91"/>
      <c r="O91" s="5">
        <v>14</v>
      </c>
      <c r="P91">
        <v>8</v>
      </c>
      <c r="Q91">
        <v>2025</v>
      </c>
      <c r="R91" s="1">
        <f t="shared" si="18"/>
        <v>45883</v>
      </c>
      <c r="T91">
        <v>1</v>
      </c>
      <c r="U91">
        <f t="shared" si="29"/>
        <v>1</v>
      </c>
      <c r="V91">
        <f t="shared" si="22"/>
        <v>1</v>
      </c>
      <c r="W91">
        <f t="shared" si="23"/>
        <v>1</v>
      </c>
      <c r="X91">
        <f t="shared" si="24"/>
        <v>1</v>
      </c>
      <c r="Z91" s="6">
        <f t="shared" si="25"/>
        <v>1</v>
      </c>
      <c r="AA91">
        <f t="shared" si="19"/>
        <v>814.68</v>
      </c>
      <c r="AB91" s="2">
        <f t="shared" si="26"/>
        <v>814.68</v>
      </c>
      <c r="AC91" s="2">
        <f t="shared" si="20"/>
        <v>814.68</v>
      </c>
      <c r="AD91" t="str">
        <f t="shared" si="21"/>
        <v>Home</v>
      </c>
      <c r="AE91" t="str">
        <f t="shared" si="27"/>
        <v>Home</v>
      </c>
      <c r="AF91" t="str" cm="1">
        <f t="array" ref="AF91">IF(OR(F91=0,F91="0"),   _xlfn.XLOOKUP(E91, _xlfn._xlws.FILTER(E:E, (F:F&lt;&gt;"0")*(F:F&lt;&gt;0)), _xlfn._xlws.FILTER(F:F, (F:F&lt;&gt;"0")*(F:F&lt;&gt;0)), ""),F91)</f>
        <v>Home</v>
      </c>
    </row>
    <row r="92" spans="1:32" x14ac:dyDescent="0.3">
      <c r="A92">
        <v>190</v>
      </c>
      <c r="B92" t="s">
        <v>227</v>
      </c>
      <c r="C92" t="s">
        <v>228</v>
      </c>
      <c r="D92" s="1">
        <v>45837</v>
      </c>
      <c r="E92" t="s">
        <v>85</v>
      </c>
      <c r="F92" t="s">
        <v>14</v>
      </c>
      <c r="G92" s="6">
        <f t="shared" si="17"/>
        <v>1</v>
      </c>
      <c r="H92" s="2">
        <v>920.37</v>
      </c>
      <c r="I92" t="s">
        <v>40</v>
      </c>
      <c r="J92" t="s">
        <v>22</v>
      </c>
      <c r="K92" s="2">
        <v>920.37</v>
      </c>
      <c r="L92" s="2"/>
      <c r="M92" s="2"/>
      <c r="N92"/>
      <c r="O92" s="4">
        <v>29</v>
      </c>
      <c r="P92">
        <v>6</v>
      </c>
      <c r="Q92">
        <v>2025</v>
      </c>
      <c r="R92" s="1">
        <f t="shared" si="18"/>
        <v>45837</v>
      </c>
      <c r="T92">
        <v>1</v>
      </c>
      <c r="U92">
        <f t="shared" si="29"/>
        <v>1</v>
      </c>
      <c r="V92">
        <f t="shared" si="22"/>
        <v>1</v>
      </c>
      <c r="W92">
        <f t="shared" si="23"/>
        <v>1</v>
      </c>
      <c r="X92">
        <f t="shared" si="24"/>
        <v>1</v>
      </c>
      <c r="Z92" s="6">
        <f t="shared" si="25"/>
        <v>1</v>
      </c>
      <c r="AA92">
        <f t="shared" si="19"/>
        <v>920.37</v>
      </c>
      <c r="AB92" s="2">
        <f t="shared" si="26"/>
        <v>920.37</v>
      </c>
      <c r="AC92" s="2">
        <f t="shared" si="20"/>
        <v>920.37</v>
      </c>
      <c r="AD92" t="str">
        <f t="shared" si="21"/>
        <v>Home</v>
      </c>
      <c r="AE92" t="str">
        <f t="shared" si="27"/>
        <v>Home</v>
      </c>
      <c r="AF92" t="str" cm="1">
        <f t="array" ref="AF92">IF(OR(F92=0,F92="0"),   _xlfn.XLOOKUP(E92, _xlfn._xlws.FILTER(E:E, (F:F&lt;&gt;"0")*(F:F&lt;&gt;0)), _xlfn._xlws.FILTER(F:F, (F:F&lt;&gt;"0")*(F:F&lt;&gt;0)), ""),F92)</f>
        <v>Home</v>
      </c>
    </row>
    <row r="93" spans="1:32" x14ac:dyDescent="0.3">
      <c r="A93">
        <v>191</v>
      </c>
      <c r="B93" t="s">
        <v>229</v>
      </c>
      <c r="C93" t="s">
        <v>230</v>
      </c>
      <c r="D93" s="1">
        <v>45856</v>
      </c>
      <c r="E93" t="s">
        <v>61</v>
      </c>
      <c r="F93" t="s">
        <v>31</v>
      </c>
      <c r="G93" s="6">
        <f t="shared" si="17"/>
        <v>2</v>
      </c>
      <c r="H93" s="2">
        <v>881.02</v>
      </c>
      <c r="I93" t="s">
        <v>15</v>
      </c>
      <c r="J93" t="s">
        <v>43</v>
      </c>
      <c r="K93" s="2">
        <v>1762.04</v>
      </c>
      <c r="L93" s="2"/>
      <c r="M93" s="2"/>
      <c r="N93"/>
      <c r="O93" s="5">
        <v>18</v>
      </c>
      <c r="P93">
        <v>7</v>
      </c>
      <c r="Q93">
        <v>2025</v>
      </c>
      <c r="R93" s="1">
        <f t="shared" si="18"/>
        <v>45856</v>
      </c>
      <c r="T93">
        <v>2</v>
      </c>
      <c r="U93">
        <f t="shared" si="29"/>
        <v>2</v>
      </c>
      <c r="V93">
        <f t="shared" si="22"/>
        <v>2</v>
      </c>
      <c r="W93">
        <f t="shared" si="23"/>
        <v>2</v>
      </c>
      <c r="X93">
        <f t="shared" si="24"/>
        <v>2</v>
      </c>
      <c r="Z93" s="6">
        <f t="shared" si="25"/>
        <v>2</v>
      </c>
      <c r="AA93">
        <f t="shared" si="19"/>
        <v>881.02</v>
      </c>
      <c r="AB93" s="2">
        <f t="shared" si="26"/>
        <v>881.02</v>
      </c>
      <c r="AC93" s="2">
        <f t="shared" si="20"/>
        <v>1762.04</v>
      </c>
      <c r="AD93" t="str">
        <f t="shared" si="21"/>
        <v>Books</v>
      </c>
      <c r="AE93" t="str">
        <f t="shared" si="27"/>
        <v>Books</v>
      </c>
      <c r="AF93" t="str" cm="1">
        <f t="array" ref="AF93">IF(OR(F93=0,F93="0"),   _xlfn.XLOOKUP(E93, _xlfn._xlws.FILTER(E:E, (F:F&lt;&gt;"0")*(F:F&lt;&gt;0)), _xlfn._xlws.FILTER(F:F, (F:F&lt;&gt;"0")*(F:F&lt;&gt;0)), ""),F93)</f>
        <v>Books</v>
      </c>
    </row>
    <row r="94" spans="1:32" x14ac:dyDescent="0.3">
      <c r="A94">
        <v>192</v>
      </c>
      <c r="B94" t="s">
        <v>231</v>
      </c>
      <c r="C94" t="s">
        <v>232</v>
      </c>
      <c r="D94" s="1">
        <v>45845</v>
      </c>
      <c r="E94" t="s">
        <v>140</v>
      </c>
      <c r="F94" t="s">
        <v>58</v>
      </c>
      <c r="G94" s="6">
        <f t="shared" si="17"/>
        <v>3.0744680851063828</v>
      </c>
      <c r="H94" s="2">
        <v>203.63</v>
      </c>
      <c r="I94" t="s">
        <v>48</v>
      </c>
      <c r="J94" t="s">
        <v>43</v>
      </c>
      <c r="K94" s="2">
        <v>626.05393617021275</v>
      </c>
      <c r="L94" s="2"/>
      <c r="M94" s="2"/>
      <c r="N94"/>
      <c r="O94" s="4" t="s">
        <v>233</v>
      </c>
      <c r="R94" s="1" t="e">
        <f t="shared" si="18"/>
        <v>#VALUE!</v>
      </c>
      <c r="T94" t="s">
        <v>234</v>
      </c>
      <c r="U94" t="str">
        <f t="shared" si="29"/>
        <v/>
      </c>
      <c r="V94" t="str">
        <f t="shared" si="22"/>
        <v/>
      </c>
      <c r="W94" t="str">
        <f t="shared" si="23"/>
        <v/>
      </c>
      <c r="X94" t="str">
        <f t="shared" si="24"/>
        <v/>
      </c>
      <c r="Z94" s="6">
        <f t="shared" si="25"/>
        <v>3.0744680851063828</v>
      </c>
      <c r="AA94">
        <f t="shared" si="19"/>
        <v>203.63</v>
      </c>
      <c r="AB94" s="2">
        <f t="shared" si="26"/>
        <v>203.63</v>
      </c>
      <c r="AC94" s="2">
        <f t="shared" si="20"/>
        <v>626.05393617021275</v>
      </c>
      <c r="AD94" t="str">
        <f t="shared" si="21"/>
        <v>Clothing</v>
      </c>
      <c r="AE94" t="str">
        <f t="shared" si="27"/>
        <v>Clothing</v>
      </c>
      <c r="AF94" t="str" cm="1">
        <f t="array" ref="AF94">IF(OR(F94=0,F94="0"),   _xlfn.XLOOKUP(E94, _xlfn._xlws.FILTER(E:E, (F:F&lt;&gt;"0")*(F:F&lt;&gt;0)), _xlfn._xlws.FILTER(F:F, (F:F&lt;&gt;"0")*(F:F&lt;&gt;0)), ""),F94)</f>
        <v>Clothing</v>
      </c>
    </row>
    <row r="95" spans="1:32" x14ac:dyDescent="0.3">
      <c r="A95">
        <v>193</v>
      </c>
      <c r="B95" t="s">
        <v>235</v>
      </c>
      <c r="C95" t="s">
        <v>236</v>
      </c>
      <c r="D95" s="1">
        <v>45814</v>
      </c>
      <c r="E95" t="s">
        <v>51</v>
      </c>
      <c r="F95" t="s">
        <v>26</v>
      </c>
      <c r="G95" s="6">
        <f t="shared" si="17"/>
        <v>3.0744680851063828</v>
      </c>
      <c r="H95" s="2">
        <v>522.02</v>
      </c>
      <c r="I95" t="s">
        <v>21</v>
      </c>
      <c r="J95" t="s">
        <v>16</v>
      </c>
      <c r="K95" s="2">
        <v>1604.9338297872339</v>
      </c>
      <c r="L95" s="2"/>
      <c r="M95" s="2"/>
      <c r="N95"/>
      <c r="O95" s="5">
        <v>6</v>
      </c>
      <c r="P95">
        <v>6</v>
      </c>
      <c r="Q95">
        <v>2025</v>
      </c>
      <c r="R95" s="1">
        <f t="shared" si="18"/>
        <v>45814</v>
      </c>
      <c r="U95">
        <f>IFERROR(VALUE(T95),"")</f>
        <v>0</v>
      </c>
      <c r="V95">
        <f t="shared" si="22"/>
        <v>0</v>
      </c>
      <c r="W95">
        <f t="shared" si="23"/>
        <v>0</v>
      </c>
      <c r="X95" t="str">
        <f t="shared" si="24"/>
        <v/>
      </c>
      <c r="Z95" s="6">
        <f t="shared" si="25"/>
        <v>3.0744680851063828</v>
      </c>
      <c r="AA95">
        <f t="shared" si="19"/>
        <v>522.02</v>
      </c>
      <c r="AB95" s="2">
        <f t="shared" si="26"/>
        <v>522.02</v>
      </c>
      <c r="AC95" s="2">
        <f t="shared" si="20"/>
        <v>1604.9338297872339</v>
      </c>
      <c r="AD95" t="str">
        <f t="shared" si="21"/>
        <v>Sports</v>
      </c>
      <c r="AE95" t="str">
        <f t="shared" si="27"/>
        <v>Sports</v>
      </c>
      <c r="AF95" t="str" cm="1">
        <f t="array" ref="AF95">IF(OR(F95=0,F95="0"),   _xlfn.XLOOKUP(E95, _xlfn._xlws.FILTER(E:E, (F:F&lt;&gt;"0")*(F:F&lt;&gt;0)), _xlfn._xlws.FILTER(F:F, (F:F&lt;&gt;"0")*(F:F&lt;&gt;0)), ""),F95)</f>
        <v>Sports</v>
      </c>
    </row>
    <row r="96" spans="1:32" x14ac:dyDescent="0.3">
      <c r="A96">
        <v>194</v>
      </c>
      <c r="B96" t="s">
        <v>237</v>
      </c>
      <c r="C96" t="s">
        <v>238</v>
      </c>
      <c r="D96" s="1">
        <v>45698</v>
      </c>
      <c r="E96" t="s">
        <v>96</v>
      </c>
      <c r="F96" t="s">
        <v>14</v>
      </c>
      <c r="G96" s="6">
        <f t="shared" si="17"/>
        <v>5</v>
      </c>
      <c r="H96" s="2">
        <v>944.54</v>
      </c>
      <c r="I96" t="s">
        <v>15</v>
      </c>
      <c r="J96" t="s">
        <v>43</v>
      </c>
      <c r="K96" s="2">
        <v>4722.7</v>
      </c>
      <c r="L96" s="2"/>
      <c r="M96" s="2"/>
      <c r="N96"/>
      <c r="O96" s="4">
        <v>10</v>
      </c>
      <c r="P96">
        <v>2</v>
      </c>
      <c r="Q96">
        <v>2025</v>
      </c>
      <c r="R96" s="1">
        <f t="shared" si="18"/>
        <v>45698</v>
      </c>
      <c r="T96">
        <v>5</v>
      </c>
      <c r="U96">
        <f t="shared" ref="U96:U101" si="30">IFERROR(VALUE(T96),"")</f>
        <v>5</v>
      </c>
      <c r="V96">
        <f t="shared" si="22"/>
        <v>5</v>
      </c>
      <c r="W96">
        <f t="shared" si="23"/>
        <v>5</v>
      </c>
      <c r="X96">
        <f t="shared" si="24"/>
        <v>5</v>
      </c>
      <c r="Z96" s="6">
        <f t="shared" si="25"/>
        <v>5</v>
      </c>
      <c r="AA96">
        <f t="shared" si="19"/>
        <v>944.54</v>
      </c>
      <c r="AB96" s="2">
        <f t="shared" si="26"/>
        <v>944.54</v>
      </c>
      <c r="AC96" s="2">
        <f t="shared" si="20"/>
        <v>4722.7</v>
      </c>
      <c r="AD96" t="str">
        <f t="shared" si="21"/>
        <v>Home</v>
      </c>
      <c r="AE96" t="str">
        <f t="shared" si="27"/>
        <v>Home</v>
      </c>
      <c r="AF96" t="str" cm="1">
        <f t="array" ref="AF96">IF(OR(F96=0,F96="0"),   _xlfn.XLOOKUP(E96, _xlfn._xlws.FILTER(E:E, (F:F&lt;&gt;"0")*(F:F&lt;&gt;0)), _xlfn._xlws.FILTER(F:F, (F:F&lt;&gt;"0")*(F:F&lt;&gt;0)), ""),F96)</f>
        <v>Home</v>
      </c>
    </row>
    <row r="97" spans="1:32" x14ac:dyDescent="0.3">
      <c r="A97">
        <v>195</v>
      </c>
      <c r="B97" t="s">
        <v>239</v>
      </c>
      <c r="C97" t="s">
        <v>240</v>
      </c>
      <c r="D97" s="1">
        <v>45827</v>
      </c>
      <c r="E97" t="s">
        <v>34</v>
      </c>
      <c r="F97" t="s">
        <v>31</v>
      </c>
      <c r="G97" s="6">
        <f t="shared" si="17"/>
        <v>5</v>
      </c>
      <c r="H97" s="2">
        <v>817.46</v>
      </c>
      <c r="I97" t="s">
        <v>15</v>
      </c>
      <c r="J97" t="s">
        <v>43</v>
      </c>
      <c r="K97" s="2">
        <v>4087.3</v>
      </c>
      <c r="L97" s="2"/>
      <c r="M97" s="2"/>
      <c r="N97"/>
      <c r="O97" s="5">
        <v>19</v>
      </c>
      <c r="P97">
        <v>6</v>
      </c>
      <c r="Q97">
        <v>2025</v>
      </c>
      <c r="R97" s="1">
        <f t="shared" si="18"/>
        <v>45827</v>
      </c>
      <c r="T97">
        <v>5</v>
      </c>
      <c r="U97">
        <f t="shared" si="30"/>
        <v>5</v>
      </c>
      <c r="V97">
        <f t="shared" si="22"/>
        <v>5</v>
      </c>
      <c r="W97">
        <f t="shared" si="23"/>
        <v>5</v>
      </c>
      <c r="X97">
        <f t="shared" si="24"/>
        <v>5</v>
      </c>
      <c r="Z97" s="6">
        <f t="shared" si="25"/>
        <v>5</v>
      </c>
      <c r="AA97">
        <f t="shared" si="19"/>
        <v>817.46</v>
      </c>
      <c r="AB97" s="2">
        <f t="shared" si="26"/>
        <v>817.46</v>
      </c>
      <c r="AC97" s="2">
        <f t="shared" si="20"/>
        <v>4087.3</v>
      </c>
      <c r="AD97" t="str">
        <f t="shared" si="21"/>
        <v>Books</v>
      </c>
      <c r="AE97" t="str">
        <f t="shared" si="27"/>
        <v>Books</v>
      </c>
      <c r="AF97" t="str" cm="1">
        <f t="array" ref="AF97">IF(OR(F97=0,F97="0"),   _xlfn.XLOOKUP(E97, _xlfn._xlws.FILTER(E:E, (F:F&lt;&gt;"0")*(F:F&lt;&gt;0)), _xlfn._xlws.FILTER(F:F, (F:F&lt;&gt;"0")*(F:F&lt;&gt;0)), ""),F97)</f>
        <v>Books</v>
      </c>
    </row>
    <row r="98" spans="1:32" x14ac:dyDescent="0.3">
      <c r="A98">
        <v>196</v>
      </c>
      <c r="B98" t="s">
        <v>241</v>
      </c>
      <c r="C98" t="s">
        <v>242</v>
      </c>
      <c r="D98" s="1">
        <v>45649</v>
      </c>
      <c r="E98" t="s">
        <v>85</v>
      </c>
      <c r="F98" t="s">
        <v>14</v>
      </c>
      <c r="G98" s="6">
        <f t="shared" si="17"/>
        <v>3.0744680851063828</v>
      </c>
      <c r="H98" s="2">
        <v>621.52978021978015</v>
      </c>
      <c r="I98" t="s">
        <v>21</v>
      </c>
      <c r="J98" t="s">
        <v>27</v>
      </c>
      <c r="K98" s="2">
        <v>1910.8734732288985</v>
      </c>
      <c r="L98" s="2"/>
      <c r="M98" s="2"/>
      <c r="N98"/>
      <c r="O98" s="4">
        <v>23</v>
      </c>
      <c r="P98">
        <v>12</v>
      </c>
      <c r="Q98">
        <v>2024</v>
      </c>
      <c r="R98" s="1">
        <f t="shared" ref="R98:R101" si="31">IFERROR(DATE(Q98,P98,DAY(O98)),DATEVALUE(O98))</f>
        <v>45649</v>
      </c>
      <c r="U98">
        <f t="shared" si="30"/>
        <v>0</v>
      </c>
      <c r="V98">
        <f t="shared" si="22"/>
        <v>0</v>
      </c>
      <c r="W98">
        <f t="shared" si="23"/>
        <v>0</v>
      </c>
      <c r="X98" t="str">
        <f t="shared" si="24"/>
        <v/>
      </c>
      <c r="Z98" s="6">
        <f t="shared" si="25"/>
        <v>3.0744680851063828</v>
      </c>
      <c r="AA98">
        <f t="shared" si="19"/>
        <v>621.52978021978004</v>
      </c>
      <c r="AB98" s="2">
        <f t="shared" si="26"/>
        <v>621.52978021978004</v>
      </c>
      <c r="AC98" s="2">
        <f t="shared" si="20"/>
        <v>1910.8734732288985</v>
      </c>
      <c r="AD98" t="str">
        <f t="shared" si="21"/>
        <v>Home</v>
      </c>
      <c r="AE98" t="str">
        <f t="shared" si="27"/>
        <v>Home</v>
      </c>
      <c r="AF98" t="str" cm="1">
        <f t="array" ref="AF98">IF(OR(F98=0,F98="0"),   _xlfn.XLOOKUP(E98, _xlfn._xlws.FILTER(E:E, (F:F&lt;&gt;"0")*(F:F&lt;&gt;0)), _xlfn._xlws.FILTER(F:F, (F:F&lt;&gt;"0")*(F:F&lt;&gt;0)), ""),F98)</f>
        <v>Home</v>
      </c>
    </row>
    <row r="99" spans="1:32" x14ac:dyDescent="0.3">
      <c r="A99">
        <v>197</v>
      </c>
      <c r="B99" t="s">
        <v>243</v>
      </c>
      <c r="C99" t="s">
        <v>244</v>
      </c>
      <c r="D99" s="1">
        <v>45831</v>
      </c>
      <c r="E99" t="s">
        <v>13</v>
      </c>
      <c r="F99" t="s">
        <v>14</v>
      </c>
      <c r="G99" s="6">
        <f t="shared" si="17"/>
        <v>1</v>
      </c>
      <c r="H99" s="2">
        <v>160.16</v>
      </c>
      <c r="I99" t="s">
        <v>21</v>
      </c>
      <c r="J99" t="s">
        <v>37</v>
      </c>
      <c r="K99" s="2">
        <v>160.16</v>
      </c>
      <c r="L99" s="2"/>
      <c r="M99" s="2"/>
      <c r="N99"/>
      <c r="O99" s="5">
        <v>23</v>
      </c>
      <c r="P99">
        <v>6</v>
      </c>
      <c r="Q99">
        <v>2025</v>
      </c>
      <c r="R99" s="1">
        <f t="shared" si="31"/>
        <v>45831</v>
      </c>
      <c r="T99">
        <v>1</v>
      </c>
      <c r="U99">
        <f t="shared" si="30"/>
        <v>1</v>
      </c>
      <c r="V99">
        <f t="shared" si="22"/>
        <v>1</v>
      </c>
      <c r="W99">
        <f t="shared" si="23"/>
        <v>1</v>
      </c>
      <c r="X99">
        <f t="shared" si="24"/>
        <v>1</v>
      </c>
      <c r="Z99" s="6">
        <f t="shared" si="25"/>
        <v>1</v>
      </c>
      <c r="AA99">
        <f t="shared" si="19"/>
        <v>160.16</v>
      </c>
      <c r="AB99" s="2">
        <f t="shared" si="26"/>
        <v>160.16</v>
      </c>
      <c r="AC99" s="2">
        <f t="shared" si="20"/>
        <v>160.16</v>
      </c>
      <c r="AD99" t="str">
        <f t="shared" si="21"/>
        <v>Home</v>
      </c>
      <c r="AE99" t="str">
        <f t="shared" si="27"/>
        <v>Home</v>
      </c>
      <c r="AF99" t="str" cm="1">
        <f t="array" ref="AF99">IF(OR(F99=0,F99="0"),   _xlfn.XLOOKUP(E99, _xlfn._xlws.FILTER(E:E, (F:F&lt;&gt;"0")*(F:F&lt;&gt;0)), _xlfn._xlws.FILTER(F:F, (F:F&lt;&gt;"0")*(F:F&lt;&gt;0)), ""),F99)</f>
        <v>Home</v>
      </c>
    </row>
    <row r="100" spans="1:32" x14ac:dyDescent="0.3">
      <c r="A100">
        <v>198</v>
      </c>
      <c r="B100" t="s">
        <v>245</v>
      </c>
      <c r="C100" t="s">
        <v>246</v>
      </c>
      <c r="D100" s="1">
        <v>45865</v>
      </c>
      <c r="E100" t="s">
        <v>85</v>
      </c>
      <c r="F100" t="s">
        <v>20</v>
      </c>
      <c r="G100" s="6">
        <f t="shared" si="17"/>
        <v>2</v>
      </c>
      <c r="H100" s="2">
        <v>497.01</v>
      </c>
      <c r="I100" t="s">
        <v>15</v>
      </c>
      <c r="J100" t="s">
        <v>16</v>
      </c>
      <c r="K100" s="2">
        <v>994.02</v>
      </c>
      <c r="L100" s="2"/>
      <c r="M100" s="2"/>
      <c r="N100"/>
      <c r="O100" s="4">
        <v>27</v>
      </c>
      <c r="P100">
        <v>7</v>
      </c>
      <c r="Q100">
        <v>2025</v>
      </c>
      <c r="R100" s="1">
        <f t="shared" si="31"/>
        <v>45865</v>
      </c>
      <c r="T100">
        <v>2</v>
      </c>
      <c r="U100">
        <f t="shared" si="30"/>
        <v>2</v>
      </c>
      <c r="V100">
        <f t="shared" si="22"/>
        <v>2</v>
      </c>
      <c r="W100">
        <f t="shared" si="23"/>
        <v>2</v>
      </c>
      <c r="X100">
        <f t="shared" si="24"/>
        <v>2</v>
      </c>
      <c r="Z100" s="6">
        <f t="shared" si="25"/>
        <v>2</v>
      </c>
      <c r="AA100">
        <f t="shared" si="19"/>
        <v>497.01</v>
      </c>
      <c r="AB100" s="2">
        <f t="shared" si="26"/>
        <v>497.01</v>
      </c>
      <c r="AC100" s="2">
        <f t="shared" si="20"/>
        <v>994.02</v>
      </c>
      <c r="AD100" t="str">
        <f t="shared" si="21"/>
        <v>Electronics</v>
      </c>
      <c r="AE100" t="str">
        <f t="shared" si="27"/>
        <v>Electronics</v>
      </c>
      <c r="AF100" t="str" cm="1">
        <f t="array" ref="AF100">IF(OR(F100=0,F100="0"),   _xlfn.XLOOKUP(E100, _xlfn._xlws.FILTER(E:E, (F:F&lt;&gt;"0")*(F:F&lt;&gt;0)), _xlfn._xlws.FILTER(F:F, (F:F&lt;&gt;"0")*(F:F&lt;&gt;0)), ""),F100)</f>
        <v>Electronics</v>
      </c>
    </row>
    <row r="101" spans="1:32" x14ac:dyDescent="0.3">
      <c r="A101">
        <v>199</v>
      </c>
      <c r="B101" t="s">
        <v>247</v>
      </c>
      <c r="C101" t="s">
        <v>248</v>
      </c>
      <c r="D101" s="1">
        <v>45679</v>
      </c>
      <c r="E101" t="s">
        <v>13</v>
      </c>
      <c r="F101" t="s">
        <v>14</v>
      </c>
      <c r="G101" s="6">
        <f t="shared" si="17"/>
        <v>5</v>
      </c>
      <c r="H101" s="2">
        <v>372.28</v>
      </c>
      <c r="I101" t="s">
        <v>48</v>
      </c>
      <c r="J101" t="s">
        <v>16</v>
      </c>
      <c r="K101" s="2">
        <v>1861.3999999999999</v>
      </c>
      <c r="L101" s="2"/>
      <c r="M101" s="2"/>
      <c r="N101"/>
      <c r="O101" s="5">
        <v>22</v>
      </c>
      <c r="P101">
        <v>1</v>
      </c>
      <c r="Q101">
        <v>2025</v>
      </c>
      <c r="R101" s="1">
        <f t="shared" si="31"/>
        <v>45679</v>
      </c>
      <c r="T101">
        <v>5</v>
      </c>
      <c r="U101">
        <f t="shared" si="30"/>
        <v>5</v>
      </c>
      <c r="V101">
        <f t="shared" si="22"/>
        <v>5</v>
      </c>
      <c r="W101">
        <f t="shared" si="23"/>
        <v>5</v>
      </c>
      <c r="X101">
        <f t="shared" si="24"/>
        <v>5</v>
      </c>
      <c r="Z101" s="6">
        <f t="shared" si="25"/>
        <v>5</v>
      </c>
      <c r="AA101">
        <f t="shared" si="19"/>
        <v>372.28</v>
      </c>
      <c r="AB101" s="2">
        <f t="shared" si="26"/>
        <v>372.28</v>
      </c>
      <c r="AC101" s="2">
        <f t="shared" si="20"/>
        <v>1861.3999999999999</v>
      </c>
      <c r="AD101" t="str">
        <f t="shared" si="21"/>
        <v>Home</v>
      </c>
      <c r="AE101" t="str">
        <f t="shared" si="27"/>
        <v>Home</v>
      </c>
      <c r="AF101" t="str" cm="1">
        <f t="array" ref="AF101">IF(OR(F101=0,F101="0"),   _xlfn.XLOOKUP(E101, _xlfn._xlws.FILTER(E:E, (F:F&lt;&gt;"0")*(F:F&lt;&gt;0)), _xlfn._xlws.FILTER(F:F, (F:F&lt;&gt;"0")*(F:F&lt;&gt;0)), ""),F101)</f>
        <v>Home</v>
      </c>
    </row>
    <row r="102" spans="1:32" x14ac:dyDescent="0.3">
      <c r="I102"/>
      <c r="N102"/>
    </row>
    <row r="103" spans="1:32" x14ac:dyDescent="0.3">
      <c r="I103"/>
      <c r="N103"/>
    </row>
    <row r="104" spans="1:32" x14ac:dyDescent="0.3">
      <c r="I104"/>
      <c r="N104"/>
    </row>
  </sheetData>
  <sortState xmlns:xlrd2="http://schemas.microsoft.com/office/spreadsheetml/2017/richdata2" ref="B3:K103">
    <sortCondition ref="B2:B103"/>
  </sortState>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EEBD6-4EC0-4220-8209-94B68779A912}">
  <dimension ref="A1:T41"/>
  <sheetViews>
    <sheetView zoomScaleNormal="100" workbookViewId="0">
      <selection activeCell="A151" sqref="A151"/>
    </sheetView>
  </sheetViews>
  <sheetFormatPr defaultRowHeight="14.4" x14ac:dyDescent="0.3"/>
  <cols>
    <col min="1" max="1" width="10.77734375" bestFit="1" customWidth="1"/>
    <col min="2" max="2" width="11.6640625" bestFit="1" customWidth="1"/>
    <col min="3" max="3" width="15.109375" bestFit="1" customWidth="1"/>
    <col min="4" max="7" width="10.5546875" bestFit="1" customWidth="1"/>
    <col min="8" max="9" width="12.109375" bestFit="1" customWidth="1"/>
    <col min="10" max="10" width="12.21875" bestFit="1" customWidth="1"/>
    <col min="11" max="11" width="12.109375" bestFit="1" customWidth="1"/>
    <col min="12" max="13" width="16.44140625" bestFit="1" customWidth="1"/>
    <col min="15" max="16" width="12.109375" bestFit="1" customWidth="1"/>
    <col min="18" max="18" width="14.5546875" bestFit="1" customWidth="1"/>
    <col min="19" max="19" width="12.109375" bestFit="1" customWidth="1"/>
    <col min="20" max="20" width="6.109375" bestFit="1" customWidth="1"/>
  </cols>
  <sheetData>
    <row r="1" spans="1:20" x14ac:dyDescent="0.3">
      <c r="G1" s="17" t="s">
        <v>259</v>
      </c>
      <c r="H1" s="17"/>
      <c r="I1" s="17"/>
    </row>
    <row r="2" spans="1:20" x14ac:dyDescent="0.3">
      <c r="A2" s="17" t="s">
        <v>255</v>
      </c>
      <c r="B2" s="17"/>
      <c r="C2" s="11"/>
      <c r="G2" s="7" t="s">
        <v>9</v>
      </c>
      <c r="H2" t="s">
        <v>257</v>
      </c>
      <c r="K2" s="17" t="s">
        <v>263</v>
      </c>
      <c r="L2" s="17"/>
      <c r="M2" s="17"/>
      <c r="O2" s="17" t="s">
        <v>264</v>
      </c>
      <c r="P2" s="17"/>
      <c r="R2" s="17" t="s">
        <v>266</v>
      </c>
      <c r="S2" s="17"/>
      <c r="T2" s="17"/>
    </row>
    <row r="3" spans="1:20" x14ac:dyDescent="0.3">
      <c r="A3" s="7" t="s">
        <v>258</v>
      </c>
      <c r="B3" t="s">
        <v>252</v>
      </c>
      <c r="D3" s="7" t="s">
        <v>249</v>
      </c>
      <c r="E3" t="s">
        <v>251</v>
      </c>
      <c r="G3" s="8" t="s">
        <v>37</v>
      </c>
      <c r="H3" s="2">
        <v>31159.337802197802</v>
      </c>
      <c r="K3" s="7" t="s">
        <v>249</v>
      </c>
      <c r="L3" t="s">
        <v>252</v>
      </c>
      <c r="O3" s="7" t="s">
        <v>249</v>
      </c>
      <c r="P3" t="s">
        <v>251</v>
      </c>
      <c r="R3" s="7" t="s">
        <v>265</v>
      </c>
      <c r="S3" t="s">
        <v>257</v>
      </c>
      <c r="T3" t="s">
        <v>256</v>
      </c>
    </row>
    <row r="4" spans="1:20" x14ac:dyDescent="0.3">
      <c r="A4" s="8" t="s">
        <v>31</v>
      </c>
      <c r="B4" s="18">
        <v>23</v>
      </c>
      <c r="D4" s="8" t="s">
        <v>31</v>
      </c>
      <c r="E4" s="2">
        <v>43180.9589010989</v>
      </c>
      <c r="G4" s="8" t="s">
        <v>27</v>
      </c>
      <c r="H4" s="2">
        <v>16782.162813888241</v>
      </c>
      <c r="K4" s="8" t="s">
        <v>253</v>
      </c>
      <c r="L4" s="18">
        <v>81</v>
      </c>
      <c r="O4" s="8" t="s">
        <v>51</v>
      </c>
      <c r="P4" s="2">
        <v>12376.371560673368</v>
      </c>
      <c r="R4" s="8" t="s">
        <v>40</v>
      </c>
      <c r="S4" s="2">
        <v>47107.71582300678</v>
      </c>
      <c r="T4" s="18">
        <v>22</v>
      </c>
    </row>
    <row r="5" spans="1:20" x14ac:dyDescent="0.3">
      <c r="A5" s="8" t="s">
        <v>58</v>
      </c>
      <c r="B5" s="18">
        <v>16</v>
      </c>
      <c r="D5" s="8" t="s">
        <v>58</v>
      </c>
      <c r="E5" s="2">
        <v>34394.842397708671</v>
      </c>
      <c r="G5" s="8" t="s">
        <v>22</v>
      </c>
      <c r="H5" s="2">
        <v>55051.503773673132</v>
      </c>
      <c r="K5" s="10" t="s">
        <v>276</v>
      </c>
      <c r="L5" s="18">
        <v>5</v>
      </c>
      <c r="O5" s="8" t="s">
        <v>34</v>
      </c>
      <c r="P5" s="2">
        <v>9577.39</v>
      </c>
      <c r="R5" s="8" t="s">
        <v>15</v>
      </c>
      <c r="S5" s="2">
        <v>74850.325093523497</v>
      </c>
      <c r="T5" s="18">
        <v>33</v>
      </c>
    </row>
    <row r="6" spans="1:20" x14ac:dyDescent="0.3">
      <c r="A6" s="8" t="s">
        <v>20</v>
      </c>
      <c r="B6" s="18">
        <v>23</v>
      </c>
      <c r="D6" s="8" t="s">
        <v>20</v>
      </c>
      <c r="E6" s="2">
        <v>44177.229560439555</v>
      </c>
      <c r="G6" s="8" t="s">
        <v>43</v>
      </c>
      <c r="H6" s="2">
        <v>44017.603262801022</v>
      </c>
      <c r="K6" s="10" t="s">
        <v>270</v>
      </c>
      <c r="L6" s="18">
        <v>13</v>
      </c>
      <c r="O6" s="8" t="s">
        <v>13</v>
      </c>
      <c r="P6" s="2">
        <v>31084.146702127659</v>
      </c>
      <c r="R6" s="8" t="s">
        <v>48</v>
      </c>
      <c r="S6" s="2">
        <v>25672.704361702126</v>
      </c>
      <c r="T6" s="18">
        <v>21</v>
      </c>
    </row>
    <row r="7" spans="1:20" x14ac:dyDescent="0.3">
      <c r="A7" s="8" t="s">
        <v>14</v>
      </c>
      <c r="B7" s="18">
        <v>20</v>
      </c>
      <c r="D7" s="8" t="s">
        <v>14</v>
      </c>
      <c r="E7" s="2">
        <v>34000.058636895017</v>
      </c>
      <c r="G7" s="8" t="s">
        <v>16</v>
      </c>
      <c r="H7" s="2">
        <v>36067.073390226789</v>
      </c>
      <c r="K7" s="10" t="s">
        <v>277</v>
      </c>
      <c r="L7" s="18">
        <v>5</v>
      </c>
      <c r="O7" s="8" t="s">
        <v>54</v>
      </c>
      <c r="P7" s="2">
        <v>17836.288901098898</v>
      </c>
      <c r="R7" s="8" t="s">
        <v>21</v>
      </c>
      <c r="S7" s="2">
        <v>35446.935764554604</v>
      </c>
      <c r="T7" s="18">
        <v>24</v>
      </c>
    </row>
    <row r="8" spans="1:20" x14ac:dyDescent="0.3">
      <c r="A8" s="8" t="s">
        <v>26</v>
      </c>
      <c r="B8" s="18">
        <v>18</v>
      </c>
      <c r="D8" s="8" t="s">
        <v>26</v>
      </c>
      <c r="E8" s="2">
        <v>27324.591546644846</v>
      </c>
      <c r="G8" s="8" t="s">
        <v>250</v>
      </c>
      <c r="H8" s="2">
        <v>183077.68104278698</v>
      </c>
      <c r="K8" s="10" t="s">
        <v>278</v>
      </c>
      <c r="L8" s="18">
        <v>2</v>
      </c>
      <c r="O8" s="8" t="s">
        <v>61</v>
      </c>
      <c r="P8" s="2">
        <v>7761.57</v>
      </c>
      <c r="R8" s="8" t="s">
        <v>250</v>
      </c>
      <c r="S8" s="2">
        <v>183077.68104278704</v>
      </c>
      <c r="T8" s="18">
        <v>100</v>
      </c>
    </row>
    <row r="9" spans="1:20" x14ac:dyDescent="0.3">
      <c r="A9" s="8" t="s">
        <v>250</v>
      </c>
      <c r="B9" s="18">
        <v>100</v>
      </c>
      <c r="D9" s="8" t="s">
        <v>250</v>
      </c>
      <c r="E9" s="2">
        <v>183077.68104278701</v>
      </c>
      <c r="K9" s="10" t="s">
        <v>260</v>
      </c>
      <c r="L9" s="18">
        <v>9</v>
      </c>
      <c r="O9" s="8" t="s">
        <v>96</v>
      </c>
      <c r="P9" s="2">
        <v>14306.440000000002</v>
      </c>
    </row>
    <row r="10" spans="1:20" x14ac:dyDescent="0.3">
      <c r="K10" s="10" t="s">
        <v>261</v>
      </c>
      <c r="L10" s="18">
        <v>9</v>
      </c>
      <c r="O10" s="8" t="s">
        <v>30</v>
      </c>
      <c r="P10" s="2">
        <v>8005.71</v>
      </c>
    </row>
    <row r="11" spans="1:20" x14ac:dyDescent="0.3">
      <c r="K11" s="10" t="s">
        <v>271</v>
      </c>
      <c r="L11" s="18">
        <v>13</v>
      </c>
      <c r="O11" s="8" t="s">
        <v>57</v>
      </c>
      <c r="P11" s="2">
        <v>17836.318901098901</v>
      </c>
    </row>
    <row r="12" spans="1:20" x14ac:dyDescent="0.3">
      <c r="K12" s="10" t="s">
        <v>272</v>
      </c>
      <c r="L12" s="18">
        <v>7</v>
      </c>
      <c r="O12" s="8" t="s">
        <v>109</v>
      </c>
      <c r="P12" s="2">
        <v>8230.26</v>
      </c>
    </row>
    <row r="13" spans="1:20" x14ac:dyDescent="0.3">
      <c r="K13" s="10" t="s">
        <v>273</v>
      </c>
      <c r="L13" s="18">
        <v>5</v>
      </c>
      <c r="O13" s="8" t="s">
        <v>85</v>
      </c>
      <c r="P13" s="2">
        <v>7537.5828138882389</v>
      </c>
    </row>
    <row r="14" spans="1:20" x14ac:dyDescent="0.3">
      <c r="K14" s="10" t="s">
        <v>274</v>
      </c>
      <c r="L14" s="18">
        <v>11</v>
      </c>
      <c r="O14" s="8" t="s">
        <v>250</v>
      </c>
      <c r="P14" s="2">
        <v>134552.07887888709</v>
      </c>
    </row>
    <row r="15" spans="1:20" x14ac:dyDescent="0.3">
      <c r="K15" s="10" t="s">
        <v>262</v>
      </c>
      <c r="L15" s="18">
        <v>2</v>
      </c>
    </row>
    <row r="16" spans="1:20" x14ac:dyDescent="0.3">
      <c r="K16" s="8" t="s">
        <v>250</v>
      </c>
      <c r="L16" s="18">
        <v>81</v>
      </c>
    </row>
    <row r="18" spans="2:13" x14ac:dyDescent="0.3">
      <c r="J18" s="7" t="s">
        <v>5</v>
      </c>
      <c r="K18" t="s">
        <v>275</v>
      </c>
      <c r="L18" s="17" t="s">
        <v>268</v>
      </c>
      <c r="M18" s="17"/>
    </row>
    <row r="19" spans="2:13" x14ac:dyDescent="0.3">
      <c r="B19" s="9" t="s">
        <v>267</v>
      </c>
      <c r="C19" s="9"/>
      <c r="D19" s="9"/>
      <c r="E19" s="9"/>
      <c r="F19" s="9"/>
      <c r="G19" s="9"/>
      <c r="H19" s="9"/>
    </row>
    <row r="20" spans="2:13" x14ac:dyDescent="0.3">
      <c r="B20" s="7" t="s">
        <v>251</v>
      </c>
      <c r="C20" s="7" t="s">
        <v>254</v>
      </c>
      <c r="J20" s="7" t="s">
        <v>269</v>
      </c>
      <c r="K20" t="s">
        <v>257</v>
      </c>
    </row>
    <row r="21" spans="2:13" x14ac:dyDescent="0.3">
      <c r="B21" s="7" t="s">
        <v>258</v>
      </c>
      <c r="C21" t="s">
        <v>37</v>
      </c>
      <c r="D21" t="s">
        <v>27</v>
      </c>
      <c r="E21" t="s">
        <v>22</v>
      </c>
      <c r="F21" t="s">
        <v>43</v>
      </c>
      <c r="G21" t="s">
        <v>16</v>
      </c>
      <c r="H21" t="s">
        <v>250</v>
      </c>
      <c r="J21" s="8" t="s">
        <v>51</v>
      </c>
      <c r="K21" s="2">
        <v>12376.371560673368</v>
      </c>
    </row>
    <row r="22" spans="2:13" x14ac:dyDescent="0.3">
      <c r="B22" s="8" t="s">
        <v>31</v>
      </c>
      <c r="C22" s="2">
        <v>7872.5289010989</v>
      </c>
      <c r="D22" s="2"/>
      <c r="E22" s="2">
        <v>4887.6299999999992</v>
      </c>
      <c r="F22" s="2">
        <v>22151.96</v>
      </c>
      <c r="G22" s="2">
        <v>8268.84</v>
      </c>
      <c r="H22" s="2">
        <v>43180.9589010989</v>
      </c>
      <c r="J22" s="8" t="s">
        <v>34</v>
      </c>
      <c r="K22" s="2">
        <v>9577.39</v>
      </c>
    </row>
    <row r="23" spans="2:13" x14ac:dyDescent="0.3">
      <c r="B23" s="8" t="s">
        <v>58</v>
      </c>
      <c r="C23" s="2">
        <v>7481.05</v>
      </c>
      <c r="D23" s="2">
        <v>3894.7799999999997</v>
      </c>
      <c r="E23" s="2">
        <v>9432.75</v>
      </c>
      <c r="F23" s="2">
        <v>3774.6528372691132</v>
      </c>
      <c r="G23" s="2">
        <v>9811.6095604395596</v>
      </c>
      <c r="H23" s="2">
        <v>34394.842397708679</v>
      </c>
      <c r="J23" s="8" t="s">
        <v>13</v>
      </c>
      <c r="K23" s="2">
        <v>31084.146702127659</v>
      </c>
    </row>
    <row r="24" spans="2:13" x14ac:dyDescent="0.3">
      <c r="B24" s="8" t="s">
        <v>20</v>
      </c>
      <c r="C24" s="2">
        <v>6761.73</v>
      </c>
      <c r="D24" s="2">
        <v>4024.82</v>
      </c>
      <c r="E24" s="2">
        <v>23602.019560439559</v>
      </c>
      <c r="F24" s="2">
        <v>5190.26</v>
      </c>
      <c r="G24" s="2">
        <v>4598.3999999999996</v>
      </c>
      <c r="H24" s="2">
        <v>44177.229560439562</v>
      </c>
      <c r="J24" s="8" t="s">
        <v>54</v>
      </c>
      <c r="K24" s="2">
        <v>17836.288901098898</v>
      </c>
    </row>
    <row r="25" spans="2:13" x14ac:dyDescent="0.3">
      <c r="B25" s="8" t="s">
        <v>14</v>
      </c>
      <c r="C25" s="2">
        <v>4108.3599999999997</v>
      </c>
      <c r="D25" s="2">
        <v>3775.462813888239</v>
      </c>
      <c r="E25" s="2">
        <v>6946.3158230067793</v>
      </c>
      <c r="F25" s="2">
        <v>8228.33</v>
      </c>
      <c r="G25" s="2">
        <v>10941.589999999998</v>
      </c>
      <c r="H25" s="2">
        <v>34000.058636895017</v>
      </c>
      <c r="J25" s="8" t="s">
        <v>61</v>
      </c>
      <c r="K25" s="2">
        <v>7761.57</v>
      </c>
    </row>
    <row r="26" spans="2:13" x14ac:dyDescent="0.3">
      <c r="B26" s="8" t="s">
        <v>26</v>
      </c>
      <c r="C26" s="2">
        <v>4935.6689010989003</v>
      </c>
      <c r="D26" s="2">
        <v>5087.1000000000004</v>
      </c>
      <c r="E26" s="2">
        <v>10182.788390226795</v>
      </c>
      <c r="F26" s="2">
        <v>4672.4004255319151</v>
      </c>
      <c r="G26" s="2">
        <v>2446.6338297872339</v>
      </c>
      <c r="H26" s="2">
        <v>27324.59154664485</v>
      </c>
      <c r="J26" s="8" t="s">
        <v>132</v>
      </c>
      <c r="K26" s="2">
        <v>5707.1900000000005</v>
      </c>
    </row>
    <row r="27" spans="2:13" x14ac:dyDescent="0.3">
      <c r="B27" s="8" t="s">
        <v>250</v>
      </c>
      <c r="C27" s="2">
        <v>31159.337802197799</v>
      </c>
      <c r="D27" s="2">
        <v>16782.162813888237</v>
      </c>
      <c r="E27" s="2">
        <v>55051.503773673132</v>
      </c>
      <c r="F27" s="2">
        <v>44017.603262801029</v>
      </c>
      <c r="G27" s="2">
        <v>36067.073390226789</v>
      </c>
      <c r="H27" s="2">
        <v>183077.68104278704</v>
      </c>
      <c r="J27" s="8" t="s">
        <v>115</v>
      </c>
      <c r="K27" s="2">
        <v>808.07</v>
      </c>
    </row>
    <row r="28" spans="2:13" x14ac:dyDescent="0.3">
      <c r="J28" s="8" t="s">
        <v>140</v>
      </c>
      <c r="K28" s="2">
        <v>4111.0539361702131</v>
      </c>
    </row>
    <row r="29" spans="2:13" x14ac:dyDescent="0.3">
      <c r="J29" s="8" t="s">
        <v>160</v>
      </c>
      <c r="K29" s="2">
        <v>5355.9695604395602</v>
      </c>
    </row>
    <row r="30" spans="2:13" x14ac:dyDescent="0.3">
      <c r="J30" s="8" t="s">
        <v>96</v>
      </c>
      <c r="K30" s="2">
        <v>14306.440000000002</v>
      </c>
    </row>
    <row r="31" spans="2:13" x14ac:dyDescent="0.3">
      <c r="J31" s="8" t="s">
        <v>135</v>
      </c>
      <c r="K31" s="2">
        <v>2993.5600000000004</v>
      </c>
    </row>
    <row r="32" spans="2:13" x14ac:dyDescent="0.3">
      <c r="J32" s="8" t="s">
        <v>69</v>
      </c>
      <c r="K32" s="2">
        <v>7359.6291208791199</v>
      </c>
    </row>
    <row r="33" spans="10:11" x14ac:dyDescent="0.3">
      <c r="J33" s="8" t="s">
        <v>30</v>
      </c>
      <c r="K33" s="2">
        <v>8005.71</v>
      </c>
    </row>
    <row r="34" spans="10:11" x14ac:dyDescent="0.3">
      <c r="J34" s="8" t="s">
        <v>57</v>
      </c>
      <c r="K34" s="2">
        <v>17836.318901098901</v>
      </c>
    </row>
    <row r="35" spans="10:11" x14ac:dyDescent="0.3">
      <c r="J35" s="8" t="s">
        <v>19</v>
      </c>
      <c r="K35" s="2">
        <v>6347.4395604395613</v>
      </c>
    </row>
    <row r="36" spans="10:11" x14ac:dyDescent="0.3">
      <c r="J36" s="8" t="s">
        <v>112</v>
      </c>
      <c r="K36" s="2">
        <v>3424.12</v>
      </c>
    </row>
    <row r="37" spans="10:11" x14ac:dyDescent="0.3">
      <c r="J37" s="8" t="s">
        <v>25</v>
      </c>
      <c r="K37" s="2">
        <v>6724.069985971475</v>
      </c>
    </row>
    <row r="38" spans="10:11" x14ac:dyDescent="0.3">
      <c r="J38" s="8" t="s">
        <v>109</v>
      </c>
      <c r="K38" s="2">
        <v>8230.26</v>
      </c>
    </row>
    <row r="39" spans="10:11" x14ac:dyDescent="0.3">
      <c r="J39" s="8" t="s">
        <v>85</v>
      </c>
      <c r="K39" s="2">
        <v>7537.5828138882389</v>
      </c>
    </row>
    <row r="40" spans="10:11" x14ac:dyDescent="0.3">
      <c r="J40" s="8" t="s">
        <v>78</v>
      </c>
      <c r="K40" s="2">
        <v>5694.5</v>
      </c>
    </row>
    <row r="41" spans="10:11" x14ac:dyDescent="0.3">
      <c r="J41" s="8" t="s">
        <v>250</v>
      </c>
      <c r="K41" s="2">
        <v>183077.68104278698</v>
      </c>
    </row>
  </sheetData>
  <mergeCells count="6">
    <mergeCell ref="R2:T2"/>
    <mergeCell ref="L18:M18"/>
    <mergeCell ref="A2:B2"/>
    <mergeCell ref="G1:I1"/>
    <mergeCell ref="K2:M2"/>
    <mergeCell ref="O2:P2"/>
  </mergeCell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74504-6682-434A-977A-11C64B3742E7}">
  <dimension ref="A1:BH94"/>
  <sheetViews>
    <sheetView tabSelected="1" zoomScale="88" zoomScaleNormal="100" workbookViewId="0">
      <selection activeCell="AE11" sqref="AE11"/>
    </sheetView>
  </sheetViews>
  <sheetFormatPr defaultColWidth="8.88671875" defaultRowHeight="14.4" x14ac:dyDescent="0.3"/>
  <cols>
    <col min="1" max="16384" width="8.88671875" style="12"/>
  </cols>
  <sheetData>
    <row r="1" spans="1:60" s="13" customFormat="1" x14ac:dyDescent="0.3">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row>
    <row r="2" spans="1:60" s="13" customFormat="1"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row>
    <row r="3" spans="1:60" s="13" customFormat="1"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row>
    <row r="4" spans="1:60" x14ac:dyDescent="0.3">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row>
    <row r="5" spans="1:60" x14ac:dyDescent="0.3">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row>
    <row r="6" spans="1:60" x14ac:dyDescent="0.3">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row>
    <row r="7" spans="1:60" x14ac:dyDescent="0.3">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row>
    <row r="8" spans="1:60" x14ac:dyDescent="0.3">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row>
    <row r="9" spans="1:60" x14ac:dyDescent="0.3">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row>
    <row r="10" spans="1:60"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row>
    <row r="11" spans="1:60"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row>
    <row r="12" spans="1:60"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row>
    <row r="13" spans="1:60"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row>
    <row r="14" spans="1:60"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row>
    <row r="15" spans="1:60"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row>
    <row r="16" spans="1:60"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row>
    <row r="17" spans="1:60"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row>
    <row r="18" spans="1:60"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row>
    <row r="19" spans="1:60"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row>
    <row r="20" spans="1:60"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row>
    <row r="21" spans="1:60"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row>
    <row r="22" spans="1:60"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row>
    <row r="23" spans="1:60"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row>
    <row r="24" spans="1:60"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row>
    <row r="25" spans="1:60"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row>
    <row r="26" spans="1:60"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row>
    <row r="27" spans="1:60"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row>
    <row r="28" spans="1:60"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row>
    <row r="29" spans="1:60"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row>
    <row r="30" spans="1:60"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row>
    <row r="31" spans="1:60"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row>
    <row r="32" spans="1:60"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row>
    <row r="33" spans="1:60"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row>
    <row r="34" spans="1:60"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row>
    <row r="35" spans="1:60"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row>
    <row r="36" spans="1:60"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row>
    <row r="37" spans="1:60"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row>
    <row r="38" spans="1:60"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row>
    <row r="39" spans="1:60"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row>
    <row r="40" spans="1:60"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row>
    <row r="41" spans="1:60"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row>
    <row r="42" spans="1:60"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row>
    <row r="43" spans="1:60"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row>
    <row r="44" spans="1:60"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row>
    <row r="45" spans="1:60"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row>
    <row r="46" spans="1:60"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row>
    <row r="47" spans="1:60"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row>
    <row r="48" spans="1:60"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row>
    <row r="49" spans="1:60"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row>
    <row r="50" spans="1:60"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row>
    <row r="51" spans="1:60"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row>
    <row r="52" spans="1:60"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row>
    <row r="53" spans="1:60"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row>
    <row r="54" spans="1:60"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row>
    <row r="55" spans="1:60"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row>
    <row r="56" spans="1:60"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row>
    <row r="57" spans="1:60"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row>
    <row r="58" spans="1:60"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row>
    <row r="59" spans="1:60"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row>
    <row r="60" spans="1:60"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row>
    <row r="61" spans="1:60"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row>
    <row r="62" spans="1:60"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row>
    <row r="63" spans="1:60"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row>
    <row r="64" spans="1:60"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row>
    <row r="65" spans="1:60"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row>
    <row r="66" spans="1:60"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row>
    <row r="67" spans="1:60"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row>
    <row r="68" spans="1:60"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row>
    <row r="69" spans="1:60"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row>
    <row r="70" spans="1:60"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row>
    <row r="71" spans="1:60"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row>
    <row r="72" spans="1:60"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row>
    <row r="73" spans="1:60"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row>
    <row r="74" spans="1:60"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row>
    <row r="75" spans="1:60"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row>
    <row r="76" spans="1:60"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row>
    <row r="77" spans="1:60"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row>
    <row r="78" spans="1:60"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row>
    <row r="79" spans="1:60"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row>
    <row r="80" spans="1:60"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row>
    <row r="81" spans="1:60"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row>
    <row r="82" spans="1:60"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row>
    <row r="83" spans="1:60"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row>
    <row r="84" spans="1:60"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row>
    <row r="85" spans="1:60"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row>
    <row r="86" spans="1:60"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row>
    <row r="87" spans="1:60"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row>
    <row r="88" spans="1:60"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row>
    <row r="89" spans="1:60"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row>
    <row r="90" spans="1:60"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row>
    <row r="91" spans="1:60"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row>
    <row r="92" spans="1:60"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row>
    <row r="93" spans="1:60"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row>
    <row r="94" spans="1:60"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row>
  </sheetData>
  <mergeCells count="1">
    <mergeCell ref="A1:A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0859F-BB68-4CF3-A57A-DBA4F22E5658}">
  <dimension ref="A1:C14"/>
  <sheetViews>
    <sheetView workbookViewId="0">
      <selection activeCell="C14" sqref="C14"/>
    </sheetView>
  </sheetViews>
  <sheetFormatPr defaultRowHeight="14.4" x14ac:dyDescent="0.3"/>
  <cols>
    <col min="1" max="1" width="14.88671875" bestFit="1" customWidth="1"/>
    <col min="3" max="3" width="29.88671875" bestFit="1" customWidth="1"/>
  </cols>
  <sheetData>
    <row r="1" spans="1:3" x14ac:dyDescent="0.3">
      <c r="A1" t="s">
        <v>251</v>
      </c>
    </row>
    <row r="2" spans="1:3" x14ac:dyDescent="0.3">
      <c r="A2" s="2">
        <v>183077.68104278704</v>
      </c>
      <c r="C2" s="2" t="str">
        <f>"💰 Total Revenue: ₹" &amp; TEXT(GETPIVOTDATA("Total",$A$1),"#,##0")</f>
        <v>💰 Total Revenue: ₹1,83,078</v>
      </c>
    </row>
    <row r="5" spans="1:3" x14ac:dyDescent="0.3">
      <c r="A5" t="s">
        <v>252</v>
      </c>
    </row>
    <row r="6" spans="1:3" x14ac:dyDescent="0.3">
      <c r="A6" s="18">
        <v>100</v>
      </c>
      <c r="C6" t="str">
        <f>"📦 Total Orders: " &amp; TEXT(GETPIVOTDATA("Order_ID",$A$5),"#,##0")</f>
        <v>📦 Total Orders: 100</v>
      </c>
    </row>
    <row r="9" spans="1:3" x14ac:dyDescent="0.3">
      <c r="A9" t="s">
        <v>279</v>
      </c>
    </row>
    <row r="10" spans="1:3" x14ac:dyDescent="0.3">
      <c r="A10" s="15">
        <v>307.44680851063833</v>
      </c>
      <c r="C10" s="6" t="str">
        <f>"🛒 Total Units Sold: " &amp; TEXT(GETPIVOTDATA("Quantity",$A$9),"#,##0")</f>
        <v>🛒 Total Units Sold: 307</v>
      </c>
    </row>
    <row r="13" spans="1:3" x14ac:dyDescent="0.3">
      <c r="A13" t="s">
        <v>280</v>
      </c>
    </row>
    <row r="14" spans="1:3" x14ac:dyDescent="0.3">
      <c r="A14" s="6">
        <v>1830.7768104278703</v>
      </c>
      <c r="C14" s="2" t="str">
        <f>"🧾 Average Order Price: ₹" &amp; TEXT(GETPIVOTDATA("Total",$A$13),"#,##0.00")</f>
        <v>🧾 Average Order Price: ₹1,830.78</v>
      </c>
    </row>
  </sheetData>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dc:creator>
  <cp:lastModifiedBy>Dhruv Desai</cp:lastModifiedBy>
  <dcterms:created xsi:type="dcterms:W3CDTF">2015-06-05T18:17:20Z</dcterms:created>
  <dcterms:modified xsi:type="dcterms:W3CDTF">2026-04-02T18:00:04Z</dcterms:modified>
</cp:coreProperties>
</file>