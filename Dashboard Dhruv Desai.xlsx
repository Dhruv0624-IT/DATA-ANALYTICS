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drawings/drawing2.xml" ContentType="application/vnd.openxmlformats-officedocument.drawing+xml"/>
  <Override PartName="/xl/slicers/slicer2.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codeName="ThisWorkbook" hidePivotFieldList="1" defaultThemeVersion="166925"/>
  <mc:AlternateContent xmlns:mc="http://schemas.openxmlformats.org/markup-compatibility/2006">
    <mc:Choice Requires="x15">
      <x15ac:absPath xmlns:x15ac="http://schemas.microsoft.com/office/spreadsheetml/2010/11/ac" url="G:\"/>
    </mc:Choice>
  </mc:AlternateContent>
  <xr:revisionPtr revIDLastSave="0" documentId="13_ncr:1_{F4DE94EE-BE19-42A9-BDD3-3C7B1BE376DF}" xr6:coauthVersionLast="47" xr6:coauthVersionMax="47" xr10:uidLastSave="{00000000-0000-0000-0000-000000000000}"/>
  <bookViews>
    <workbookView xWindow="-108" yWindow="-108" windowWidth="23256" windowHeight="13896" activeTab="1" xr2:uid="{D94D67AF-3DB4-4059-9015-9A834C69E53E}"/>
  </bookViews>
  <sheets>
    <sheet name="Sheet4" sheetId="4" r:id="rId1"/>
    <sheet name="Sheet5" sheetId="5" r:id="rId2"/>
    <sheet name="Sheet1" sheetId="1" r:id="rId3"/>
  </sheets>
  <definedNames>
    <definedName name="NativeTimeline_Year">#N/A</definedName>
    <definedName name="Slicer_Against1">#N/A</definedName>
    <definedName name="Slicer_Captain">#N/A</definedName>
    <definedName name="Slicer_Format">#N/A</definedName>
    <definedName name="Slicer_Host_Nation">#N/A</definedName>
    <definedName name="Slicer_Year">#N/A</definedName>
  </definedNames>
  <calcPr calcId="191029"/>
  <pivotCaches>
    <pivotCache cacheId="1" r:id="rId4"/>
    <pivotCache cacheId="2" r:id="rId5"/>
  </pivotCaches>
  <extLst>
    <ext xmlns:x14="http://schemas.microsoft.com/office/spreadsheetml/2009/9/main" uri="{BBE1A952-AA13-448e-AADC-164F8A28A991}">
      <x14:slicerCaches>
        <x14:slicerCache r:id="rId6"/>
        <x14:slicerCache r:id="rId7"/>
        <x14:slicerCache r:id="rId8"/>
        <x14:slicerCache r:id="rId9"/>
        <x14:slicerCache r:id="rId10"/>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1"/>
      </x15:timelineCacheRef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225" i="5" l="1"/>
  <c r="D225" i="5"/>
  <c r="B225" i="5"/>
  <c r="A225" i="5"/>
</calcChain>
</file>

<file path=xl/sharedStrings.xml><?xml version="1.0" encoding="utf-8"?>
<sst xmlns="http://schemas.openxmlformats.org/spreadsheetml/2006/main" count="929" uniqueCount="123">
  <si>
    <t>Number</t>
  </si>
  <si>
    <t>Format</t>
  </si>
  <si>
    <t>Inning</t>
  </si>
  <si>
    <t>Position</t>
  </si>
  <si>
    <t>Score</t>
  </si>
  <si>
    <t>Balls</t>
  </si>
  <si>
    <t>Strike Rate</t>
  </si>
  <si>
    <t>Against</t>
  </si>
  <si>
    <t>Venue</t>
  </si>
  <si>
    <t>Host Nation</t>
  </si>
  <si>
    <t>Series</t>
  </si>
  <si>
    <t>Year</t>
  </si>
  <si>
    <t>Team Total</t>
  </si>
  <si>
    <t>Wickets lost</t>
  </si>
  <si>
    <t>Not Out</t>
  </si>
  <si>
    <t>MOTM</t>
  </si>
  <si>
    <t>Win</t>
  </si>
  <si>
    <t>Captain</t>
  </si>
  <si>
    <t>ODI</t>
  </si>
  <si>
    <t>Sri Lanka</t>
  </si>
  <si>
    <t>Kolkata</t>
  </si>
  <si>
    <t>India</t>
  </si>
  <si>
    <t>Bilateral</t>
  </si>
  <si>
    <t>No</t>
  </si>
  <si>
    <t>Yes</t>
  </si>
  <si>
    <t>Bangladesh</t>
  </si>
  <si>
    <t>Mirpur</t>
  </si>
  <si>
    <t>Tri-Series</t>
  </si>
  <si>
    <t>Australia</t>
  </si>
  <si>
    <t>Vizag</t>
  </si>
  <si>
    <t>New Zealand</t>
  </si>
  <si>
    <t>Guwahati</t>
  </si>
  <si>
    <t>World Cup</t>
  </si>
  <si>
    <t>England</t>
  </si>
  <si>
    <t>Cardiff</t>
  </si>
  <si>
    <t>Delhi</t>
  </si>
  <si>
    <t>West Indies</t>
  </si>
  <si>
    <t>Test</t>
  </si>
  <si>
    <t>Adelaide</t>
  </si>
  <si>
    <t>Hobart</t>
  </si>
  <si>
    <t>Asia Cup</t>
  </si>
  <si>
    <t>Pakistan</t>
  </si>
  <si>
    <t>Hambantota</t>
  </si>
  <si>
    <t>Colombo</t>
  </si>
  <si>
    <t>Bengaluru</t>
  </si>
  <si>
    <t>Nagpur</t>
  </si>
  <si>
    <t>Drawn</t>
  </si>
  <si>
    <t>Chennai</t>
  </si>
  <si>
    <t>Port Of Spain</t>
  </si>
  <si>
    <t>Zimbabwe</t>
  </si>
  <si>
    <t>Harare</t>
  </si>
  <si>
    <t>Jaipur</t>
  </si>
  <si>
    <t>South Africa</t>
  </si>
  <si>
    <t>Johannesburg</t>
  </si>
  <si>
    <t>Napier</t>
  </si>
  <si>
    <t>Wellington</t>
  </si>
  <si>
    <t>Fatullah</t>
  </si>
  <si>
    <t>Dharamshala</t>
  </si>
  <si>
    <t>Ranchi</t>
  </si>
  <si>
    <t>Melbourne</t>
  </si>
  <si>
    <t>Sydney</t>
  </si>
  <si>
    <t>Galle</t>
  </si>
  <si>
    <t>Canberra</t>
  </si>
  <si>
    <t>T20</t>
  </si>
  <si>
    <t>Open</t>
  </si>
  <si>
    <t>Gujarat Lions</t>
  </si>
  <si>
    <t>Rajkot</t>
  </si>
  <si>
    <t>IPL</t>
  </si>
  <si>
    <t>Rising Pune Supergiants</t>
  </si>
  <si>
    <t>Kings XI Punjab</t>
  </si>
  <si>
    <t>North Sound</t>
  </si>
  <si>
    <t>Indore</t>
  </si>
  <si>
    <t>Mohali</t>
  </si>
  <si>
    <t>Mumbai</t>
  </si>
  <si>
    <t>Pune</t>
  </si>
  <si>
    <t>Hyderabad</t>
  </si>
  <si>
    <t>Kingston</t>
  </si>
  <si>
    <t>Kanpur</t>
  </si>
  <si>
    <t>Centurion</t>
  </si>
  <si>
    <t>Durban</t>
  </si>
  <si>
    <t>Cape Town</t>
  </si>
  <si>
    <t>Birmingham</t>
  </si>
  <si>
    <t>Nottingham</t>
  </si>
  <si>
    <t>Tie</t>
  </si>
  <si>
    <t>Perth</t>
  </si>
  <si>
    <t>Kolkata Knight Riders</t>
  </si>
  <si>
    <t>T20i</t>
  </si>
  <si>
    <t>Afghanistan</t>
  </si>
  <si>
    <t>Dubai</t>
  </si>
  <si>
    <t>UAE</t>
  </si>
  <si>
    <t>Chattogram</t>
  </si>
  <si>
    <t>Thiruvananthapuram</t>
  </si>
  <si>
    <t>Ahmedabad</t>
  </si>
  <si>
    <t>Sunrisers Hyderabad</t>
  </si>
  <si>
    <t>Gujarat Titans</t>
  </si>
  <si>
    <t>Rajasthan Royals</t>
  </si>
  <si>
    <t>Champions Trophy</t>
  </si>
  <si>
    <t>Raipur</t>
  </si>
  <si>
    <t>Row Labels</t>
  </si>
  <si>
    <t>Grand Total</t>
  </si>
  <si>
    <t>Count of Score</t>
  </si>
  <si>
    <t>Average of Strike Rate</t>
  </si>
  <si>
    <t>Total Centuries</t>
  </si>
  <si>
    <t>Highest Score</t>
  </si>
  <si>
    <t>2009</t>
  </si>
  <si>
    <t>2010</t>
  </si>
  <si>
    <t>2011</t>
  </si>
  <si>
    <t>2012</t>
  </si>
  <si>
    <t>Average StrikeRate</t>
  </si>
  <si>
    <t>Man Of the Match</t>
  </si>
  <si>
    <t>&lt;24-12-2009</t>
  </si>
  <si>
    <t>2013</t>
  </si>
  <si>
    <t>2014</t>
  </si>
  <si>
    <t>2015</t>
  </si>
  <si>
    <t>2016</t>
  </si>
  <si>
    <t>2017</t>
  </si>
  <si>
    <t>2018</t>
  </si>
  <si>
    <t>2019</t>
  </si>
  <si>
    <t>2022</t>
  </si>
  <si>
    <t>2023</t>
  </si>
  <si>
    <t>2024</t>
  </si>
  <si>
    <t>2025</t>
  </si>
  <si>
    <t>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</si>
</sst>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8"/>
      <color theme="1"/>
      <name val="Calibri"/>
      <family val="2"/>
    </font>
    <font>
      <sz val="14"/>
      <color theme="1"/>
      <name val="Calibri"/>
      <family val="2"/>
    </font>
    <font>
      <sz val="14"/>
      <color theme="0"/>
      <name val="Calibri"/>
      <family val="2"/>
    </font>
    <font>
      <b/>
      <sz val="12"/>
      <color theme="1"/>
      <name val="Calibri"/>
      <family val="2"/>
    </font>
    <font>
      <b/>
      <sz val="12"/>
      <color theme="1"/>
      <name val="Arial"/>
      <family val="2"/>
    </font>
    <font>
      <sz val="8"/>
      <color theme="0"/>
      <name val="Calibri"/>
      <family val="2"/>
    </font>
    <font>
      <b/>
      <sz val="16"/>
      <color theme="0"/>
      <name val="Calibri"/>
      <family val="2"/>
    </font>
    <font>
      <b/>
      <sz val="24"/>
      <color theme="0"/>
      <name val="Calibri"/>
      <family val="2"/>
    </font>
    <font>
      <sz val="24"/>
      <color theme="0"/>
      <name val="Calibri"/>
      <family val="2"/>
    </font>
    <font>
      <b/>
      <sz val="22"/>
      <color theme="0"/>
      <name val="Calibri"/>
      <family val="2"/>
    </font>
    <font>
      <sz val="22"/>
      <color theme="0"/>
      <name val="Calibri"/>
      <family val="2"/>
    </font>
  </fonts>
  <fills count="6">
    <fill>
      <patternFill patternType="none"/>
    </fill>
    <fill>
      <patternFill patternType="gray125"/>
    </fill>
    <fill>
      <patternFill patternType="solid">
        <fgColor theme="7" tint="0.59999389629810485"/>
        <bgColor indexed="64"/>
      </patternFill>
    </fill>
    <fill>
      <patternFill patternType="solid">
        <fgColor theme="0"/>
        <bgColor indexed="64"/>
      </patternFill>
    </fill>
    <fill>
      <patternFill patternType="solid">
        <fgColor theme="5"/>
        <bgColor indexed="64"/>
      </patternFill>
    </fill>
    <fill>
      <patternFill patternType="solid">
        <fgColor theme="1"/>
        <bgColor indexed="64"/>
      </patternFill>
    </fill>
  </fills>
  <borders count="2">
    <border>
      <left/>
      <right/>
      <top/>
      <bottom/>
      <diagonal/>
    </border>
    <border>
      <left/>
      <right/>
      <top/>
      <bottom style="medium">
        <color rgb="FF2D2F35"/>
      </bottom>
      <diagonal/>
    </border>
  </borders>
  <cellStyleXfs count="1">
    <xf numFmtId="0" fontId="0" fillId="0" borderId="0"/>
  </cellStyleXfs>
  <cellXfs count="21">
    <xf numFmtId="0" fontId="0" fillId="0" borderId="0" xfId="0"/>
    <xf numFmtId="0" fontId="1" fillId="0" borderId="0" xfId="0" applyFont="1"/>
    <xf numFmtId="0" fontId="0" fillId="0" borderId="0" xfId="0" pivotButton="1"/>
    <xf numFmtId="0" fontId="0" fillId="0" borderId="0" xfId="0" applyAlignment="1">
      <alignment horizontal="left"/>
    </xf>
    <xf numFmtId="14" fontId="2" fillId="0" borderId="0" xfId="0" applyNumberFormat="1" applyFont="1"/>
    <xf numFmtId="2" fontId="1" fillId="0" borderId="0" xfId="0" applyNumberFormat="1" applyFont="1"/>
    <xf numFmtId="14" fontId="4" fillId="2" borderId="1" xfId="0" applyNumberFormat="1" applyFont="1" applyFill="1" applyBorder="1" applyAlignment="1">
      <alignment horizontal="center" vertical="center" wrapText="1"/>
    </xf>
    <xf numFmtId="14" fontId="4" fillId="3" borderId="1" xfId="0" applyNumberFormat="1" applyFont="1" applyFill="1" applyBorder="1" applyAlignment="1">
      <alignment horizontal="center" vertical="center" wrapText="1"/>
    </xf>
    <xf numFmtId="0" fontId="3" fillId="0" borderId="0" xfId="0" applyFont="1" applyAlignment="1">
      <alignment horizontal="center" vertical="center"/>
    </xf>
    <xf numFmtId="2" fontId="3" fillId="0" borderId="0" xfId="0" applyNumberFormat="1" applyFont="1" applyAlignment="1">
      <alignment horizontal="center" vertical="center"/>
    </xf>
    <xf numFmtId="0" fontId="6" fillId="5" borderId="0" xfId="0" applyFont="1" applyFill="1"/>
    <xf numFmtId="0" fontId="5" fillId="5" borderId="0" xfId="0" applyFont="1" applyFill="1"/>
    <xf numFmtId="0" fontId="8" fillId="5" borderId="0" xfId="0" applyFont="1" applyFill="1"/>
    <xf numFmtId="0" fontId="10" fillId="5" borderId="0" xfId="0" applyFont="1" applyFill="1"/>
    <xf numFmtId="2" fontId="5" fillId="5" borderId="0" xfId="0" applyNumberFormat="1" applyFont="1" applyFill="1"/>
    <xf numFmtId="0" fontId="5" fillId="4" borderId="0" xfId="0" applyFont="1" applyFill="1"/>
    <xf numFmtId="0" fontId="7" fillId="5" borderId="0" xfId="0" applyFont="1" applyFill="1" applyAlignment="1">
      <alignment horizontal="center"/>
    </xf>
    <xf numFmtId="0" fontId="7" fillId="5" borderId="0" xfId="0" applyFont="1" applyFill="1" applyAlignment="1">
      <alignment horizontal="center" vertical="center"/>
    </xf>
    <xf numFmtId="0" fontId="9" fillId="5" borderId="0" xfId="0" applyFont="1" applyFill="1" applyAlignment="1">
      <alignment horizontal="center"/>
    </xf>
    <xf numFmtId="0" fontId="6" fillId="5" borderId="0" xfId="0" applyFont="1" applyFill="1" applyAlignment="1">
      <alignment horizontal="center"/>
    </xf>
    <xf numFmtId="0" fontId="0" fillId="0" borderId="0" xfId="0" applyNumberFormat="1"/>
  </cellXfs>
  <cellStyles count="1">
    <cellStyle name="Normal" xfId="0" builtinId="0"/>
  </cellStyles>
  <dxfs count="20">
    <dxf>
      <font>
        <b/>
        <strike val="0"/>
        <outline val="0"/>
        <shadow val="0"/>
        <u val="none"/>
        <vertAlign val="baseline"/>
        <sz val="12"/>
        <color theme="1"/>
        <name val="Calibri"/>
        <family val="2"/>
        <scheme val="none"/>
      </font>
      <alignment horizontal="center" vertical="center" textRotation="0" wrapText="0" indent="0" justifyLastLine="0" shrinkToFit="0" readingOrder="0"/>
    </dxf>
    <dxf>
      <font>
        <b/>
        <strike val="0"/>
        <outline val="0"/>
        <shadow val="0"/>
        <u val="none"/>
        <vertAlign val="baseline"/>
        <sz val="12"/>
        <color theme="1"/>
        <name val="Calibri"/>
        <family val="2"/>
        <scheme val="none"/>
      </font>
      <alignment horizontal="center" vertical="center" textRotation="0" wrapText="0" indent="0" justifyLastLine="0" shrinkToFit="0" readingOrder="0"/>
    </dxf>
    <dxf>
      <font>
        <b/>
        <strike val="0"/>
        <outline val="0"/>
        <shadow val="0"/>
        <u val="none"/>
        <vertAlign val="baseline"/>
        <sz val="12"/>
        <color theme="1"/>
        <name val="Calibri"/>
        <family val="2"/>
        <scheme val="none"/>
      </font>
      <alignment horizontal="center" vertical="center" textRotation="0" wrapText="0" indent="0" justifyLastLine="0" shrinkToFit="0" readingOrder="0"/>
    </dxf>
    <dxf>
      <font>
        <b/>
        <strike val="0"/>
        <outline val="0"/>
        <shadow val="0"/>
        <u val="none"/>
        <vertAlign val="baseline"/>
        <sz val="12"/>
        <color theme="1"/>
        <name val="Calibri"/>
        <family val="2"/>
        <scheme val="none"/>
      </font>
      <alignment horizontal="center" vertical="center" textRotation="0" wrapText="0" indent="0" justifyLastLine="0" shrinkToFit="0" readingOrder="0"/>
    </dxf>
    <dxf>
      <font>
        <b/>
        <strike val="0"/>
        <outline val="0"/>
        <shadow val="0"/>
        <u val="none"/>
        <vertAlign val="baseline"/>
        <sz val="12"/>
        <color theme="1"/>
        <name val="Calibri"/>
        <family val="2"/>
        <scheme val="none"/>
      </font>
      <alignment horizontal="center" vertical="center" textRotation="0" wrapText="0" indent="0" justifyLastLine="0" shrinkToFit="0" readingOrder="0"/>
    </dxf>
    <dxf>
      <font>
        <b/>
        <strike val="0"/>
        <outline val="0"/>
        <shadow val="0"/>
        <u val="none"/>
        <vertAlign val="baseline"/>
        <sz val="12"/>
        <color theme="1"/>
        <name val="Calibri"/>
        <family val="2"/>
        <scheme val="none"/>
      </font>
      <alignment horizontal="center" vertical="center" textRotation="0" wrapText="0" indent="0" justifyLastLine="0" shrinkToFit="0" readingOrder="0"/>
    </dxf>
    <dxf>
      <font>
        <b/>
        <strike val="0"/>
        <outline val="0"/>
        <shadow val="0"/>
        <u val="none"/>
        <vertAlign val="baseline"/>
        <sz val="12"/>
        <color theme="1"/>
        <name val="Arial"/>
        <family val="2"/>
        <scheme val="none"/>
      </font>
      <numFmt numFmtId="19" formatCode="dd/mm/yyyy"/>
      <fill>
        <patternFill patternType="solid">
          <fgColor indexed="64"/>
          <bgColor rgb="FF101218"/>
        </patternFill>
      </fill>
      <alignment horizontal="center" vertical="center" textRotation="0" wrapText="1" indent="0" justifyLastLine="0" shrinkToFit="0" readingOrder="0"/>
      <border diagonalUp="0" diagonalDown="0" outline="0">
        <left/>
        <right/>
        <top/>
        <bottom style="medium">
          <color rgb="FF2D2F35"/>
        </bottom>
      </border>
    </dxf>
    <dxf>
      <font>
        <b/>
        <strike val="0"/>
        <outline val="0"/>
        <shadow val="0"/>
        <u val="none"/>
        <vertAlign val="baseline"/>
        <sz val="12"/>
        <color theme="1"/>
        <name val="Calibri"/>
        <family val="2"/>
        <scheme val="none"/>
      </font>
      <alignment horizontal="center" vertical="center" textRotation="0" wrapText="0" indent="0" justifyLastLine="0" shrinkToFit="0" readingOrder="0"/>
    </dxf>
    <dxf>
      <font>
        <b/>
        <strike val="0"/>
        <outline val="0"/>
        <shadow val="0"/>
        <u val="none"/>
        <vertAlign val="baseline"/>
        <sz val="12"/>
        <color theme="1"/>
        <name val="Calibri"/>
        <family val="2"/>
        <scheme val="none"/>
      </font>
      <alignment horizontal="center" vertical="center" textRotation="0" wrapText="0" indent="0" justifyLastLine="0" shrinkToFit="0" readingOrder="0"/>
    </dxf>
    <dxf>
      <font>
        <b/>
        <strike val="0"/>
        <outline val="0"/>
        <shadow val="0"/>
        <u val="none"/>
        <vertAlign val="baseline"/>
        <sz val="12"/>
        <color theme="1"/>
        <name val="Calibri"/>
        <family val="2"/>
        <scheme val="none"/>
      </font>
      <alignment horizontal="center" vertical="center" textRotation="0" wrapText="0" indent="0" justifyLastLine="0" shrinkToFit="0" readingOrder="0"/>
    </dxf>
    <dxf>
      <font>
        <b/>
        <strike val="0"/>
        <outline val="0"/>
        <shadow val="0"/>
        <u val="none"/>
        <vertAlign val="baseline"/>
        <sz val="12"/>
        <color theme="1"/>
        <name val="Calibri"/>
        <family val="2"/>
        <scheme val="none"/>
      </font>
      <alignment horizontal="center" vertical="center" textRotation="0" wrapText="0" indent="0" justifyLastLine="0" shrinkToFit="0" readingOrder="0"/>
    </dxf>
    <dxf>
      <font>
        <b/>
        <strike val="0"/>
        <outline val="0"/>
        <shadow val="0"/>
        <u val="none"/>
        <vertAlign val="baseline"/>
        <sz val="12"/>
        <color theme="1"/>
        <name val="Calibri"/>
        <family val="2"/>
        <scheme val="none"/>
      </font>
      <numFmt numFmtId="2" formatCode="0.00"/>
      <alignment horizontal="center" vertical="center" textRotation="0" wrapText="0" indent="0" justifyLastLine="0" shrinkToFit="0" readingOrder="0"/>
    </dxf>
    <dxf>
      <font>
        <b/>
        <strike val="0"/>
        <outline val="0"/>
        <shadow val="0"/>
        <u val="none"/>
        <vertAlign val="baseline"/>
        <sz val="12"/>
        <color theme="1"/>
        <name val="Calibri"/>
        <family val="2"/>
        <scheme val="none"/>
      </font>
      <alignment horizontal="center" vertical="center" textRotation="0" wrapText="0" indent="0" justifyLastLine="0" shrinkToFit="0" readingOrder="0"/>
    </dxf>
    <dxf>
      <font>
        <b/>
        <strike val="0"/>
        <outline val="0"/>
        <shadow val="0"/>
        <u val="none"/>
        <vertAlign val="baseline"/>
        <sz val="12"/>
        <color theme="1"/>
        <name val="Calibri"/>
        <family val="2"/>
        <scheme val="none"/>
      </font>
      <alignment horizontal="center" vertical="center" textRotation="0" wrapText="0" indent="0" justifyLastLine="0" shrinkToFit="0" readingOrder="0"/>
    </dxf>
    <dxf>
      <font>
        <b/>
        <strike val="0"/>
        <outline val="0"/>
        <shadow val="0"/>
        <u val="none"/>
        <vertAlign val="baseline"/>
        <sz val="12"/>
        <color theme="1"/>
        <name val="Calibri"/>
        <family val="2"/>
        <scheme val="none"/>
      </font>
      <alignment horizontal="center" vertical="center" textRotation="0" wrapText="0" indent="0" justifyLastLine="0" shrinkToFit="0" readingOrder="0"/>
    </dxf>
    <dxf>
      <font>
        <b/>
        <strike val="0"/>
        <outline val="0"/>
        <shadow val="0"/>
        <u val="none"/>
        <vertAlign val="baseline"/>
        <sz val="12"/>
        <color theme="1"/>
        <name val="Calibri"/>
        <family val="2"/>
        <scheme val="none"/>
      </font>
      <alignment horizontal="center" vertical="center" textRotation="0" wrapText="0" indent="0" justifyLastLine="0" shrinkToFit="0" readingOrder="0"/>
    </dxf>
    <dxf>
      <font>
        <b/>
        <strike val="0"/>
        <outline val="0"/>
        <shadow val="0"/>
        <u val="none"/>
        <vertAlign val="baseline"/>
        <sz val="12"/>
        <color theme="1"/>
        <name val="Calibri"/>
        <family val="2"/>
        <scheme val="none"/>
      </font>
      <alignment horizontal="center" vertical="center" textRotation="0" wrapText="0" indent="0" justifyLastLine="0" shrinkToFit="0" readingOrder="0"/>
    </dxf>
    <dxf>
      <font>
        <b/>
        <strike val="0"/>
        <outline val="0"/>
        <shadow val="0"/>
        <u val="none"/>
        <vertAlign val="baseline"/>
        <sz val="12"/>
        <color theme="1"/>
        <name val="Calibri"/>
        <family val="2"/>
        <scheme val="none"/>
      </font>
      <alignment horizontal="center" vertical="center" textRotation="0" wrapText="0" indent="0" justifyLastLine="0" shrinkToFit="0" readingOrder="0"/>
    </dxf>
    <dxf>
      <font>
        <b/>
        <strike val="0"/>
        <outline val="0"/>
        <shadow val="0"/>
        <u val="none"/>
        <vertAlign val="baseline"/>
        <sz val="12"/>
        <color theme="1"/>
        <name val="Calibri"/>
        <family val="2"/>
        <scheme val="none"/>
      </font>
      <alignment horizontal="center" vertical="center" textRotation="0" wrapText="0" indent="0" justifyLastLine="0" shrinkToFit="0" readingOrder="0"/>
    </dxf>
    <dxf>
      <font>
        <strike val="0"/>
        <outline val="0"/>
        <shadow val="0"/>
        <u val="none"/>
        <vertAlign val="baseline"/>
        <sz val="14"/>
        <color theme="1"/>
        <name val="Calibri"/>
        <family val="2"/>
        <scheme val="none"/>
      </font>
      <alignment horizontal="general" vertical="bottom"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styles" Target="styles.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microsoft.com/office/2011/relationships/timelineCache" Target="timelineCaches/timelineCache1.xml"/><Relationship Id="rId5" Type="http://schemas.openxmlformats.org/officeDocument/2006/relationships/pivotCacheDefinition" Target="pivotCache/pivotCacheDefinition2.xml"/><Relationship Id="rId15" Type="http://schemas.openxmlformats.org/officeDocument/2006/relationships/calcChain" Target="calcChain.xml"/><Relationship Id="rId10" Type="http://schemas.microsoft.com/office/2007/relationships/slicerCache" Target="slicerCaches/slicerCache5.xml"/><Relationship Id="rId4" Type="http://schemas.openxmlformats.org/officeDocument/2006/relationships/pivotCacheDefinition" Target="pivotCache/pivotCacheDefinition1.xml"/><Relationship Id="rId9" Type="http://schemas.microsoft.com/office/2007/relationships/slicerCache" Target="slicerCaches/slicerCache4.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[Dashboard.xlsx]Sheet4!PivotTable2</c:name>
    <c:fmtId val="1"/>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Count of Centuries by Format</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Sheet4!$B$3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Sheet4!$A$4:$A$8</c:f>
              <c:strCache>
                <c:ptCount val="4"/>
                <c:pt idx="0">
                  <c:v>ODI</c:v>
                </c:pt>
                <c:pt idx="1">
                  <c:v>T20</c:v>
                </c:pt>
                <c:pt idx="2">
                  <c:v>T20i</c:v>
                </c:pt>
                <c:pt idx="3">
                  <c:v>Test</c:v>
                </c:pt>
              </c:strCache>
            </c:strRef>
          </c:cat>
          <c:val>
            <c:numRef>
              <c:f>Sheet4!$B$4:$B$8</c:f>
              <c:numCache>
                <c:formatCode>General</c:formatCode>
                <c:ptCount val="4"/>
                <c:pt idx="0">
                  <c:v>54</c:v>
                </c:pt>
                <c:pt idx="1">
                  <c:v>8</c:v>
                </c:pt>
                <c:pt idx="2">
                  <c:v>1</c:v>
                </c:pt>
                <c:pt idx="3">
                  <c:v>30</c:v>
                </c:pt>
              </c:numCache>
            </c:numRef>
          </c:val>
          <c:extLst>
            <c:ext xmlns:c16="http://schemas.microsoft.com/office/drawing/2014/chart" uri="{C3380CC4-5D6E-409C-BE32-E72D297353CC}">
              <c16:uniqueId val="{00000000-F0F8-4D59-B566-33F53D372162}"/>
            </c:ext>
          </c:extLst>
        </c:ser>
        <c:dLbls>
          <c:showLegendKey val="0"/>
          <c:showVal val="0"/>
          <c:showCatName val="0"/>
          <c:showSerName val="0"/>
          <c:showPercent val="0"/>
          <c:showBubbleSize val="0"/>
        </c:dLbls>
        <c:gapWidth val="100"/>
        <c:overlap val="-24"/>
        <c:axId val="1313127136"/>
        <c:axId val="1313114656"/>
      </c:barChart>
      <c:catAx>
        <c:axId val="1313127136"/>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313114656"/>
        <c:crosses val="autoZero"/>
        <c:auto val="1"/>
        <c:lblAlgn val="ctr"/>
        <c:lblOffset val="100"/>
        <c:noMultiLvlLbl val="0"/>
      </c:catAx>
      <c:valAx>
        <c:axId val="1313114656"/>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31312713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[Dashboard.xlsx]Sheet4!PivotTable5</c:name>
    <c:fmtId val="4"/>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IN"/>
              <a:t>Average Strike Rate in each Format</a:t>
            </a:r>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Sheet4!$B$68</c:f>
              <c:strCache>
                <c:ptCount val="1"/>
                <c:pt idx="0">
                  <c:v>Total</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cat>
            <c:strRef>
              <c:f>Sheet4!$A$69:$A$73</c:f>
              <c:strCache>
                <c:ptCount val="4"/>
                <c:pt idx="0">
                  <c:v>ODI</c:v>
                </c:pt>
                <c:pt idx="1">
                  <c:v>T20</c:v>
                </c:pt>
                <c:pt idx="2">
                  <c:v>T20i</c:v>
                </c:pt>
                <c:pt idx="3">
                  <c:v>Test</c:v>
                </c:pt>
              </c:strCache>
            </c:strRef>
          </c:cat>
          <c:val>
            <c:numRef>
              <c:f>Sheet4!$B$69:$B$73</c:f>
              <c:numCache>
                <c:formatCode>General</c:formatCode>
                <c:ptCount val="4"/>
                <c:pt idx="0">
                  <c:v>112.46263744833333</c:v>
                </c:pt>
                <c:pt idx="1">
                  <c:v>177.847630025</c:v>
                </c:pt>
                <c:pt idx="2">
                  <c:v>200</c:v>
                </c:pt>
                <c:pt idx="3">
                  <c:v>65.150428937333331</c:v>
                </c:pt>
              </c:numCache>
            </c:numRef>
          </c:val>
          <c:extLst>
            <c:ext xmlns:c16="http://schemas.microsoft.com/office/drawing/2014/chart" uri="{C3380CC4-5D6E-409C-BE32-E72D297353CC}">
              <c16:uniqueId val="{00000000-EBF6-4DA8-AC54-38C79372ACFD}"/>
            </c:ext>
          </c:extLst>
        </c:ser>
        <c:dLbls>
          <c:showLegendKey val="0"/>
          <c:showVal val="0"/>
          <c:showCatName val="0"/>
          <c:showSerName val="0"/>
          <c:showPercent val="0"/>
          <c:showBubbleSize val="0"/>
        </c:dLbls>
        <c:gapWidth val="315"/>
        <c:overlap val="-40"/>
        <c:axId val="1313135776"/>
        <c:axId val="1313125216"/>
      </c:barChart>
      <c:catAx>
        <c:axId val="1313135776"/>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313125216"/>
        <c:crosses val="autoZero"/>
        <c:auto val="1"/>
        <c:lblAlgn val="ctr"/>
        <c:lblOffset val="100"/>
        <c:noMultiLvlLbl val="0"/>
      </c:catAx>
      <c:valAx>
        <c:axId val="1313125216"/>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3131357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[Dashboard.xlsx]Sheet4!PivotTable4</c:name>
    <c:fmtId val="6"/>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a:t>Against Team</a:t>
            </a:r>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Sheet4!$B$43</c:f>
              <c:strCache>
                <c:ptCount val="1"/>
                <c:pt idx="0">
                  <c:v>Total</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cat>
            <c:strRef>
              <c:f>Sheet4!$A$44:$A$61</c:f>
              <c:strCache>
                <c:ptCount val="17"/>
                <c:pt idx="0">
                  <c:v>Afghanistan</c:v>
                </c:pt>
                <c:pt idx="1">
                  <c:v>Australia</c:v>
                </c:pt>
                <c:pt idx="2">
                  <c:v>Bangladesh</c:v>
                </c:pt>
                <c:pt idx="3">
                  <c:v>England</c:v>
                </c:pt>
                <c:pt idx="4">
                  <c:v>Gujarat Lions</c:v>
                </c:pt>
                <c:pt idx="5">
                  <c:v>Gujarat Titans</c:v>
                </c:pt>
                <c:pt idx="6">
                  <c:v>Kings XI Punjab</c:v>
                </c:pt>
                <c:pt idx="7">
                  <c:v>Kolkata Knight Riders</c:v>
                </c:pt>
                <c:pt idx="8">
                  <c:v>New Zealand</c:v>
                </c:pt>
                <c:pt idx="9">
                  <c:v>Pakistan</c:v>
                </c:pt>
                <c:pt idx="10">
                  <c:v>Rajasthan Royals</c:v>
                </c:pt>
                <c:pt idx="11">
                  <c:v>Rising Pune Supergiants</c:v>
                </c:pt>
                <c:pt idx="12">
                  <c:v>South Africa</c:v>
                </c:pt>
                <c:pt idx="13">
                  <c:v>Sri Lanka</c:v>
                </c:pt>
                <c:pt idx="14">
                  <c:v>Sunrisers Hyderabad</c:v>
                </c:pt>
                <c:pt idx="15">
                  <c:v>West Indies</c:v>
                </c:pt>
                <c:pt idx="16">
                  <c:v>Zimbabwe</c:v>
                </c:pt>
              </c:strCache>
            </c:strRef>
          </c:cat>
          <c:val>
            <c:numRef>
              <c:f>Sheet4!$B$44:$B$61</c:f>
              <c:numCache>
                <c:formatCode>General</c:formatCode>
                <c:ptCount val="17"/>
                <c:pt idx="0">
                  <c:v>1</c:v>
                </c:pt>
                <c:pt idx="1">
                  <c:v>17</c:v>
                </c:pt>
                <c:pt idx="2">
                  <c:v>7</c:v>
                </c:pt>
                <c:pt idx="3">
                  <c:v>8</c:v>
                </c:pt>
                <c:pt idx="4">
                  <c:v>2</c:v>
                </c:pt>
                <c:pt idx="5">
                  <c:v>1</c:v>
                </c:pt>
                <c:pt idx="6">
                  <c:v>1</c:v>
                </c:pt>
                <c:pt idx="7">
                  <c:v>1</c:v>
                </c:pt>
                <c:pt idx="8">
                  <c:v>10</c:v>
                </c:pt>
                <c:pt idx="9">
                  <c:v>4</c:v>
                </c:pt>
                <c:pt idx="10">
                  <c:v>1</c:v>
                </c:pt>
                <c:pt idx="11">
                  <c:v>1</c:v>
                </c:pt>
                <c:pt idx="12">
                  <c:v>10</c:v>
                </c:pt>
                <c:pt idx="13">
                  <c:v>15</c:v>
                </c:pt>
                <c:pt idx="14">
                  <c:v>1</c:v>
                </c:pt>
                <c:pt idx="15">
                  <c:v>12</c:v>
                </c:pt>
                <c:pt idx="16">
                  <c:v>1</c:v>
                </c:pt>
              </c:numCache>
            </c:numRef>
          </c:val>
          <c:extLst>
            <c:ext xmlns:c16="http://schemas.microsoft.com/office/drawing/2014/chart" uri="{C3380CC4-5D6E-409C-BE32-E72D297353CC}">
              <c16:uniqueId val="{00000000-79A1-4040-B95D-AA49822767A3}"/>
            </c:ext>
          </c:extLst>
        </c:ser>
        <c:dLbls>
          <c:showLegendKey val="0"/>
          <c:showVal val="0"/>
          <c:showCatName val="0"/>
          <c:showSerName val="0"/>
          <c:showPercent val="0"/>
          <c:showBubbleSize val="0"/>
        </c:dLbls>
        <c:gapWidth val="182"/>
        <c:overlap val="-50"/>
        <c:axId val="1313117536"/>
        <c:axId val="1313116096"/>
      </c:barChart>
      <c:catAx>
        <c:axId val="1313117536"/>
        <c:scaling>
          <c:orientation val="minMax"/>
        </c:scaling>
        <c:delete val="0"/>
        <c:axPos val="l"/>
        <c:majorGridlines>
          <c:spPr>
            <a:ln w="9525" cap="flat" cmpd="sng" algn="ctr">
              <a:gradFill>
                <a:gsLst>
                  <a:gs pos="0">
                    <a:schemeClr val="dk1">
                      <a:lumMod val="65000"/>
                      <a:lumOff val="35000"/>
                    </a:schemeClr>
                  </a:gs>
                  <a:gs pos="100000">
                    <a:schemeClr val="dk1">
                      <a:lumMod val="75000"/>
                      <a:lumOff val="25000"/>
                    </a:schemeClr>
                  </a:gs>
                </a:gsLst>
                <a:lin ang="108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313116096"/>
        <c:crosses val="autoZero"/>
        <c:auto val="1"/>
        <c:lblAlgn val="ctr"/>
        <c:lblOffset val="100"/>
        <c:noMultiLvlLbl val="0"/>
      </c:catAx>
      <c:valAx>
        <c:axId val="1313116096"/>
        <c:scaling>
          <c:orientation val="minMax"/>
        </c:scaling>
        <c:delete val="0"/>
        <c:axPos val="b"/>
        <c:majorGridlines>
          <c:spPr>
            <a:ln w="9525" cap="flat" cmpd="sng" algn="ctr">
              <a:gradFill>
                <a:gsLst>
                  <a:gs pos="0">
                    <a:schemeClr val="dk1">
                      <a:lumMod val="65000"/>
                      <a:lumOff val="35000"/>
                    </a:schemeClr>
                  </a:gs>
                  <a:gs pos="100000">
                    <a:schemeClr val="dk1">
                      <a:lumMod val="75000"/>
                      <a:lumOff val="25000"/>
                    </a:schemeClr>
                  </a:gs>
                </a:gsLst>
                <a:lin ang="108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31311753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[Dashboard.xlsx]Sheet4!PivotTable6</c:name>
    <c:fmtId val="1"/>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Sheet4!$B$80</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51FC-428F-A5B9-ECB7BDEC4DC5}"/>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51FC-428F-A5B9-ECB7BDEC4DC5}"/>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51FC-428F-A5B9-ECB7BDEC4DC5}"/>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51FC-428F-A5B9-ECB7BDEC4DC5}"/>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Sheet4!$A$81:$A$85</c:f>
              <c:strCache>
                <c:ptCount val="4"/>
                <c:pt idx="0">
                  <c:v>Drawn</c:v>
                </c:pt>
                <c:pt idx="1">
                  <c:v>No</c:v>
                </c:pt>
                <c:pt idx="2">
                  <c:v>Tie</c:v>
                </c:pt>
                <c:pt idx="3">
                  <c:v>Yes</c:v>
                </c:pt>
              </c:strCache>
            </c:strRef>
          </c:cat>
          <c:val>
            <c:numRef>
              <c:f>Sheet4!$B$81:$B$85</c:f>
              <c:numCache>
                <c:formatCode>General</c:formatCode>
                <c:ptCount val="4"/>
                <c:pt idx="0">
                  <c:v>8</c:v>
                </c:pt>
                <c:pt idx="1">
                  <c:v>19</c:v>
                </c:pt>
                <c:pt idx="2">
                  <c:v>1</c:v>
                </c:pt>
                <c:pt idx="3">
                  <c:v>65</c:v>
                </c:pt>
              </c:numCache>
            </c:numRef>
          </c:val>
          <c:extLst>
            <c:ext xmlns:c16="http://schemas.microsoft.com/office/drawing/2014/chart" uri="{C3380CC4-5D6E-409C-BE32-E72D297353CC}">
              <c16:uniqueId val="{00000008-51FC-428F-A5B9-ECB7BDEC4DC5}"/>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Count of Centuries by Year</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v>Total</c:v>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strLit>
              <c:ptCount val="16"/>
              <c:pt idx="0">
                <c:v>2009</c:v>
              </c:pt>
              <c:pt idx="1">
                <c:v>2010</c:v>
              </c:pt>
              <c:pt idx="2">
                <c:v>2011</c:v>
              </c:pt>
              <c:pt idx="3">
                <c:v>2012</c:v>
              </c:pt>
              <c:pt idx="4">
                <c:v>2013</c:v>
              </c:pt>
              <c:pt idx="5">
                <c:v>2014</c:v>
              </c:pt>
              <c:pt idx="6">
                <c:v>2015</c:v>
              </c:pt>
              <c:pt idx="7">
                <c:v>2016</c:v>
              </c:pt>
              <c:pt idx="8">
                <c:v>2017</c:v>
              </c:pt>
              <c:pt idx="9">
                <c:v>2018</c:v>
              </c:pt>
              <c:pt idx="10">
                <c:v>2019</c:v>
              </c:pt>
              <c:pt idx="11">
                <c:v>2022</c:v>
              </c:pt>
              <c:pt idx="12">
                <c:v>2023</c:v>
              </c:pt>
              <c:pt idx="13">
                <c:v>2024</c:v>
              </c:pt>
              <c:pt idx="14">
                <c:v>2025</c:v>
              </c:pt>
              <c:pt idx="15">
                <c:v>2026</c:v>
              </c:pt>
            </c:strLit>
          </c:cat>
          <c:val>
            <c:numLit>
              <c:formatCode>General</c:formatCode>
              <c:ptCount val="16"/>
              <c:pt idx="0">
                <c:v>1</c:v>
              </c:pt>
              <c:pt idx="1">
                <c:v>3</c:v>
              </c:pt>
              <c:pt idx="2">
                <c:v>4</c:v>
              </c:pt>
              <c:pt idx="3">
                <c:v>8</c:v>
              </c:pt>
              <c:pt idx="4">
                <c:v>6</c:v>
              </c:pt>
              <c:pt idx="5">
                <c:v>8</c:v>
              </c:pt>
              <c:pt idx="6">
                <c:v>4</c:v>
              </c:pt>
              <c:pt idx="7">
                <c:v>11</c:v>
              </c:pt>
              <c:pt idx="8">
                <c:v>11</c:v>
              </c:pt>
              <c:pt idx="9">
                <c:v>11</c:v>
              </c:pt>
              <c:pt idx="10">
                <c:v>8</c:v>
              </c:pt>
              <c:pt idx="11">
                <c:v>2</c:v>
              </c:pt>
              <c:pt idx="12">
                <c:v>10</c:v>
              </c:pt>
              <c:pt idx="13">
                <c:v>2</c:v>
              </c:pt>
              <c:pt idx="14">
                <c:v>3</c:v>
              </c:pt>
              <c:pt idx="15">
                <c:v>1</c:v>
              </c:pt>
            </c:numLit>
          </c:val>
          <c:smooth val="0"/>
          <c:extLst>
            <c:ext xmlns:c16="http://schemas.microsoft.com/office/drawing/2014/chart" uri="{C3380CC4-5D6E-409C-BE32-E72D297353CC}">
              <c16:uniqueId val="{00000000-2883-4F3B-9678-0228BB65F61C}"/>
            </c:ext>
          </c:extLst>
        </c:ser>
        <c:dLbls>
          <c:showLegendKey val="0"/>
          <c:showVal val="0"/>
          <c:showCatName val="0"/>
          <c:showSerName val="0"/>
          <c:showPercent val="0"/>
          <c:showBubbleSize val="0"/>
        </c:dLbls>
        <c:marker val="1"/>
        <c:smooth val="0"/>
        <c:axId val="1313124256"/>
        <c:axId val="1313126656"/>
      </c:lineChart>
      <c:catAx>
        <c:axId val="1313124256"/>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313126656"/>
        <c:crosses val="autoZero"/>
        <c:auto val="1"/>
        <c:lblAlgn val="ctr"/>
        <c:lblOffset val="100"/>
        <c:noMultiLvlLbl val="0"/>
      </c:catAx>
      <c:valAx>
        <c:axId val="1313126656"/>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31312425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13">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339">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0">
              <a:schemeClr val="dk1">
                <a:lumMod val="65000"/>
                <a:lumOff val="35000"/>
              </a:schemeClr>
            </a:gs>
            <a:gs pos="100000">
              <a:schemeClr val="dk1">
                <a:lumMod val="75000"/>
                <a:lumOff val="25000"/>
              </a:schemeClr>
            </a:gs>
          </a:gsLst>
          <a:lin ang="10800000" scaled="0"/>
        </a:gradFill>
        <a:round/>
      </a:ln>
      <a:effectLst/>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oneCell">
    <xdr:from>
      <xdr:col>12</xdr:col>
      <xdr:colOff>472440</xdr:colOff>
      <xdr:row>21</xdr:row>
      <xdr:rowOff>30480</xdr:rowOff>
    </xdr:from>
    <xdr:to>
      <xdr:col>16</xdr:col>
      <xdr:colOff>350520</xdr:colOff>
      <xdr:row>36</xdr:row>
      <xdr:rowOff>11430</xdr:rowOff>
    </xdr:to>
    <mc:AlternateContent xmlns:mc="http://schemas.openxmlformats.org/markup-compatibility/2006" xmlns:a14="http://schemas.microsoft.com/office/drawing/2010/main">
      <mc:Choice Requires="a14">
        <xdr:graphicFrame macro="">
          <xdr:nvGraphicFramePr>
            <xdr:cNvPr id="4" name="Host Nation">
              <a:extLst>
                <a:ext uri="{FF2B5EF4-FFF2-40B4-BE49-F238E27FC236}">
                  <a16:creationId xmlns:a16="http://schemas.microsoft.com/office/drawing/2014/main" id="{91BEBBE5-327D-DCD1-A1E9-53725FF16753}"/>
                </a:ext>
              </a:extLst>
            </xdr:cNvPr>
            <xdr:cNvGraphicFramePr/>
          </xdr:nvGraphicFramePr>
          <xdr:xfrm>
            <a:off x="0" y="0"/>
            <a:ext cx="0" cy="0"/>
          </xdr:xfrm>
          <a:graphic>
            <a:graphicData uri="http://schemas.microsoft.com/office/drawing/2010/slicer">
              <sle:slicer xmlns:sle="http://schemas.microsoft.com/office/drawing/2010/slicer" name="Host Nation"/>
            </a:graphicData>
          </a:graphic>
        </xdr:graphicFrame>
      </mc:Choice>
      <mc:Fallback xmlns="">
        <xdr:sp macro="" textlink="">
          <xdr:nvSpPr>
            <xdr:cNvPr id="0" name=""/>
            <xdr:cNvSpPr>
              <a:spLocks noTextEdit="1"/>
            </xdr:cNvSpPr>
          </xdr:nvSpPr>
          <xdr:spPr>
            <a:xfrm>
              <a:off x="6652260" y="2750820"/>
              <a:ext cx="1828800" cy="19240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83820</xdr:colOff>
      <xdr:row>4</xdr:row>
      <xdr:rowOff>45720</xdr:rowOff>
    </xdr:from>
    <xdr:to>
      <xdr:col>18</xdr:col>
      <xdr:colOff>449580</xdr:colOff>
      <xdr:row>19</xdr:row>
      <xdr:rowOff>26670</xdr:rowOff>
    </xdr:to>
    <mc:AlternateContent xmlns:mc="http://schemas.openxmlformats.org/markup-compatibility/2006" xmlns:a14="http://schemas.microsoft.com/office/drawing/2010/main">
      <mc:Choice Requires="a14">
        <xdr:graphicFrame macro="">
          <xdr:nvGraphicFramePr>
            <xdr:cNvPr id="6" name="Captain">
              <a:extLst>
                <a:ext uri="{FF2B5EF4-FFF2-40B4-BE49-F238E27FC236}">
                  <a16:creationId xmlns:a16="http://schemas.microsoft.com/office/drawing/2014/main" id="{A008122A-993B-2533-E6CE-9455603CE3DF}"/>
                </a:ext>
              </a:extLst>
            </xdr:cNvPr>
            <xdr:cNvGraphicFramePr/>
          </xdr:nvGraphicFramePr>
          <xdr:xfrm>
            <a:off x="0" y="0"/>
            <a:ext cx="0" cy="0"/>
          </xdr:xfrm>
          <a:graphic>
            <a:graphicData uri="http://schemas.microsoft.com/office/drawing/2010/slicer">
              <sle:slicer xmlns:sle="http://schemas.microsoft.com/office/drawing/2010/slicer" name="Captain"/>
            </a:graphicData>
          </a:graphic>
        </xdr:graphicFrame>
      </mc:Choice>
      <mc:Fallback xmlns="">
        <xdr:sp macro="" textlink="">
          <xdr:nvSpPr>
            <xdr:cNvPr id="0" name=""/>
            <xdr:cNvSpPr>
              <a:spLocks noTextEdit="1"/>
            </xdr:cNvSpPr>
          </xdr:nvSpPr>
          <xdr:spPr>
            <a:xfrm>
              <a:off x="7726680" y="563880"/>
              <a:ext cx="1828800" cy="19240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8</xdr:col>
      <xdr:colOff>126922</xdr:colOff>
      <xdr:row>7</xdr:row>
      <xdr:rowOff>89058</xdr:rowOff>
    </xdr:from>
    <xdr:to>
      <xdr:col>13</xdr:col>
      <xdr:colOff>35481</xdr:colOff>
      <xdr:row>14</xdr:row>
      <xdr:rowOff>31274</xdr:rowOff>
    </xdr:to>
    <xdr:sp macro="" textlink="A225">
      <xdr:nvSpPr>
        <xdr:cNvPr id="2" name="Rectangle 1">
          <a:extLst>
            <a:ext uri="{FF2B5EF4-FFF2-40B4-BE49-F238E27FC236}">
              <a16:creationId xmlns:a16="http://schemas.microsoft.com/office/drawing/2014/main" id="{CCB3D239-6AF2-45CA-FCEA-337B67C05F3A}"/>
            </a:ext>
          </a:extLst>
        </xdr:cNvPr>
        <xdr:cNvSpPr/>
      </xdr:nvSpPr>
      <xdr:spPr>
        <a:xfrm>
          <a:off x="4000422" y="1120933"/>
          <a:ext cx="2329497" cy="1101091"/>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94220C18-5BEF-4FA2-9558-5D7741DA4958}" type="TxLink">
            <a:rPr lang="en-US" sz="3600" b="1" i="0" u="none" strike="noStrike">
              <a:solidFill>
                <a:schemeClr val="bg1"/>
              </a:solidFill>
              <a:latin typeface="Calibri"/>
              <a:ea typeface="Calibri"/>
              <a:cs typeface="Calibri"/>
            </a:rPr>
            <a:pPr algn="ctr"/>
            <a:t>94</a:t>
          </a:fld>
          <a:endParaRPr lang="en-IN" sz="3600" b="1">
            <a:solidFill>
              <a:schemeClr val="bg1"/>
            </a:solidFill>
          </a:endParaRPr>
        </a:p>
      </xdr:txBody>
    </xdr:sp>
    <xdr:clientData/>
  </xdr:twoCellAnchor>
  <xdr:twoCellAnchor>
    <xdr:from>
      <xdr:col>13</xdr:col>
      <xdr:colOff>398227</xdr:colOff>
      <xdr:row>7</xdr:row>
      <xdr:rowOff>165099</xdr:rowOff>
    </xdr:from>
    <xdr:to>
      <xdr:col>18</xdr:col>
      <xdr:colOff>283928</xdr:colOff>
      <xdr:row>14</xdr:row>
      <xdr:rowOff>107315</xdr:rowOff>
    </xdr:to>
    <xdr:sp macro="" textlink="B225">
      <xdr:nvSpPr>
        <xdr:cNvPr id="4" name="Rectangle 3">
          <a:extLst>
            <a:ext uri="{FF2B5EF4-FFF2-40B4-BE49-F238E27FC236}">
              <a16:creationId xmlns:a16="http://schemas.microsoft.com/office/drawing/2014/main" id="{328E335B-0BEB-4DB7-9202-1B90F1B45D52}"/>
            </a:ext>
          </a:extLst>
        </xdr:cNvPr>
        <xdr:cNvSpPr/>
      </xdr:nvSpPr>
      <xdr:spPr>
        <a:xfrm>
          <a:off x="6692665" y="1196974"/>
          <a:ext cx="2306638" cy="1101091"/>
        </a:xfrm>
        <a:prstGeom prst="rect">
          <a:avLst/>
        </a:prstGeom>
        <a:solidFill>
          <a:schemeClr val="bg2">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BBDE25FC-21F4-45CF-87B6-58A49184C82A}" type="TxLink">
            <a:rPr lang="en-US" sz="3600" b="1" i="0" u="none" strike="noStrike">
              <a:solidFill>
                <a:schemeClr val="bg1"/>
              </a:solidFill>
              <a:latin typeface="Calibri"/>
              <a:ea typeface="Calibri"/>
              <a:cs typeface="Calibri"/>
            </a:rPr>
            <a:pPr algn="ctr"/>
            <a:t>254</a:t>
          </a:fld>
          <a:endParaRPr lang="en-IN" sz="3600" b="1">
            <a:solidFill>
              <a:schemeClr val="bg1"/>
            </a:solidFill>
          </a:endParaRPr>
        </a:p>
      </xdr:txBody>
    </xdr:sp>
    <xdr:clientData/>
  </xdr:twoCellAnchor>
  <xdr:twoCellAnchor>
    <xdr:from>
      <xdr:col>19</xdr:col>
      <xdr:colOff>76438</xdr:colOff>
      <xdr:row>7</xdr:row>
      <xdr:rowOff>194229</xdr:rowOff>
    </xdr:from>
    <xdr:to>
      <xdr:col>23</xdr:col>
      <xdr:colOff>408146</xdr:colOff>
      <xdr:row>15</xdr:row>
      <xdr:rowOff>5476</xdr:rowOff>
    </xdr:to>
    <xdr:sp macro="" textlink="C225">
      <xdr:nvSpPr>
        <xdr:cNvPr id="5" name="Rectangle 4">
          <a:extLst>
            <a:ext uri="{FF2B5EF4-FFF2-40B4-BE49-F238E27FC236}">
              <a16:creationId xmlns:a16="http://schemas.microsoft.com/office/drawing/2014/main" id="{E1C4CC1A-DB68-472A-908E-527E611F8034}"/>
            </a:ext>
          </a:extLst>
        </xdr:cNvPr>
        <xdr:cNvSpPr/>
      </xdr:nvSpPr>
      <xdr:spPr>
        <a:xfrm>
          <a:off x="9276001" y="1226104"/>
          <a:ext cx="2268458" cy="1097122"/>
        </a:xfrm>
        <a:prstGeom prst="rect">
          <a:avLst/>
        </a:prstGeom>
        <a:solidFill>
          <a:schemeClr val="accent1">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73E96269-FBEE-4641-8006-503C979FB3BE}" type="TxLink">
            <a:rPr lang="en-US" sz="3600" b="1" i="0" u="none" strike="noStrike">
              <a:solidFill>
                <a:schemeClr val="bg1"/>
              </a:solidFill>
              <a:latin typeface="Calibri"/>
              <a:ea typeface="Calibri"/>
              <a:cs typeface="Calibri"/>
            </a:rPr>
            <a:pPr algn="ctr"/>
            <a:t>103.77</a:t>
          </a:fld>
          <a:endParaRPr lang="en-IN" sz="3600" b="1">
            <a:solidFill>
              <a:schemeClr val="bg1"/>
            </a:solidFill>
          </a:endParaRPr>
        </a:p>
      </xdr:txBody>
    </xdr:sp>
    <xdr:clientData/>
  </xdr:twoCellAnchor>
  <xdr:twoCellAnchor>
    <xdr:from>
      <xdr:col>24</xdr:col>
      <xdr:colOff>258684</xdr:colOff>
      <xdr:row>7</xdr:row>
      <xdr:rowOff>140015</xdr:rowOff>
    </xdr:from>
    <xdr:to>
      <xdr:col>29</xdr:col>
      <xdr:colOff>174863</xdr:colOff>
      <xdr:row>14</xdr:row>
      <xdr:rowOff>74293</xdr:rowOff>
    </xdr:to>
    <xdr:sp macro="" textlink="D225">
      <xdr:nvSpPr>
        <xdr:cNvPr id="6" name="Rectangle 5">
          <a:extLst>
            <a:ext uri="{FF2B5EF4-FFF2-40B4-BE49-F238E27FC236}">
              <a16:creationId xmlns:a16="http://schemas.microsoft.com/office/drawing/2014/main" id="{1B7DB8F8-476A-4A13-B4DF-E73D86C493D0}"/>
            </a:ext>
          </a:extLst>
        </xdr:cNvPr>
        <xdr:cNvSpPr/>
      </xdr:nvSpPr>
      <xdr:spPr>
        <a:xfrm>
          <a:off x="11879184" y="1171890"/>
          <a:ext cx="2337117" cy="1093153"/>
        </a:xfrm>
        <a:prstGeom prst="rect">
          <a:avLst/>
        </a:prstGeom>
        <a:solidFill>
          <a:schemeClr val="accent2">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1498354D-A77D-4367-8A98-DF8F1B01D6C6}" type="TxLink">
            <a:rPr lang="en-US" sz="3600" b="1" i="0" u="none" strike="noStrike">
              <a:solidFill>
                <a:schemeClr val="bg1"/>
              </a:solidFill>
              <a:latin typeface="Calibri"/>
              <a:ea typeface="Calibri"/>
              <a:cs typeface="Calibri"/>
            </a:rPr>
            <a:pPr algn="ctr"/>
            <a:t>53</a:t>
          </a:fld>
          <a:endParaRPr lang="en-IN" sz="3600" b="1">
            <a:solidFill>
              <a:schemeClr val="bg1"/>
            </a:solidFill>
          </a:endParaRPr>
        </a:p>
      </xdr:txBody>
    </xdr:sp>
    <xdr:clientData/>
  </xdr:twoCellAnchor>
  <xdr:twoCellAnchor>
    <xdr:from>
      <xdr:col>0</xdr:col>
      <xdr:colOff>7938</xdr:colOff>
      <xdr:row>0</xdr:row>
      <xdr:rowOff>38100</xdr:rowOff>
    </xdr:from>
    <xdr:to>
      <xdr:col>38</xdr:col>
      <xdr:colOff>39687</xdr:colOff>
      <xdr:row>3</xdr:row>
      <xdr:rowOff>121920</xdr:rowOff>
    </xdr:to>
    <xdr:sp macro="" textlink="">
      <xdr:nvSpPr>
        <xdr:cNvPr id="7" name="TextBox 6">
          <a:extLst>
            <a:ext uri="{FF2B5EF4-FFF2-40B4-BE49-F238E27FC236}">
              <a16:creationId xmlns:a16="http://schemas.microsoft.com/office/drawing/2014/main" id="{C91B8627-BCBF-A5D1-6070-5118E620A951}"/>
            </a:ext>
          </a:extLst>
        </xdr:cNvPr>
        <xdr:cNvSpPr txBox="1"/>
      </xdr:nvSpPr>
      <xdr:spPr>
        <a:xfrm>
          <a:off x="7938" y="38100"/>
          <a:ext cx="20014405" cy="500539"/>
        </a:xfrm>
        <a:prstGeom prst="rect">
          <a:avLst/>
        </a:prstGeom>
        <a:solidFill>
          <a:srgbClr val="FFC00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3200"/>
            <a:t>Virat Kohli's Century Dashboard	</a:t>
          </a:r>
          <a:endParaRPr lang="en-IN" sz="3000" b="1">
            <a:solidFill>
              <a:schemeClr val="tx1"/>
            </a:solidFill>
          </a:endParaRPr>
        </a:p>
      </xdr:txBody>
    </xdr:sp>
    <xdr:clientData/>
  </xdr:twoCellAnchor>
  <xdr:twoCellAnchor>
    <xdr:from>
      <xdr:col>4</xdr:col>
      <xdr:colOff>186055</xdr:colOff>
      <xdr:row>38</xdr:row>
      <xdr:rowOff>53658</xdr:rowOff>
    </xdr:from>
    <xdr:to>
      <xdr:col>14</xdr:col>
      <xdr:colOff>317500</xdr:colOff>
      <xdr:row>59</xdr:row>
      <xdr:rowOff>68897</xdr:rowOff>
    </xdr:to>
    <xdr:graphicFrame macro="">
      <xdr:nvGraphicFramePr>
        <xdr:cNvPr id="9" name="Chart 1">
          <a:extLst>
            <a:ext uri="{FF2B5EF4-FFF2-40B4-BE49-F238E27FC236}">
              <a16:creationId xmlns:a16="http://schemas.microsoft.com/office/drawing/2014/main" id="{F8904A59-FB20-AA4A-0457-F8F651F1454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15</xdr:col>
      <xdr:colOff>3968</xdr:colOff>
      <xdr:row>38</xdr:row>
      <xdr:rowOff>81758</xdr:rowOff>
    </xdr:from>
    <xdr:to>
      <xdr:col>24</xdr:col>
      <xdr:colOff>419021</xdr:colOff>
      <xdr:row>59</xdr:row>
      <xdr:rowOff>55563</xdr:rowOff>
    </xdr:to>
    <xdr:graphicFrame macro="">
      <xdr:nvGraphicFramePr>
        <xdr:cNvPr id="10" name="Chart 5">
          <a:extLst>
            <a:ext uri="{FF2B5EF4-FFF2-40B4-BE49-F238E27FC236}">
              <a16:creationId xmlns:a16="http://schemas.microsoft.com/office/drawing/2014/main" id="{2329F06C-7239-37BC-54FB-9A6B6CA1261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25</xdr:col>
      <xdr:colOff>65483</xdr:colOff>
      <xdr:row>38</xdr:row>
      <xdr:rowOff>53261</xdr:rowOff>
    </xdr:from>
    <xdr:to>
      <xdr:col>32</xdr:col>
      <xdr:colOff>206374</xdr:colOff>
      <xdr:row>59</xdr:row>
      <xdr:rowOff>76120</xdr:rowOff>
    </xdr:to>
    <xdr:graphicFrame macro="">
      <xdr:nvGraphicFramePr>
        <xdr:cNvPr id="12" name="Chart 3">
          <a:extLst>
            <a:ext uri="{FF2B5EF4-FFF2-40B4-BE49-F238E27FC236}">
              <a16:creationId xmlns:a16="http://schemas.microsoft.com/office/drawing/2014/main" id="{0C922B9D-FA0D-4FD4-B8FE-1C479E04809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24</xdr:col>
      <xdr:colOff>349251</xdr:colOff>
      <xdr:row>16</xdr:row>
      <xdr:rowOff>32622</xdr:rowOff>
    </xdr:from>
    <xdr:to>
      <xdr:col>32</xdr:col>
      <xdr:colOff>160736</xdr:colOff>
      <xdr:row>37</xdr:row>
      <xdr:rowOff>66912</xdr:rowOff>
    </xdr:to>
    <xdr:graphicFrame macro="">
      <xdr:nvGraphicFramePr>
        <xdr:cNvPr id="13" name="Chart 6">
          <a:extLst>
            <a:ext uri="{FF2B5EF4-FFF2-40B4-BE49-F238E27FC236}">
              <a16:creationId xmlns:a16="http://schemas.microsoft.com/office/drawing/2014/main" id="{B9D0DF46-2729-7CF3-7E92-CD0E78C816C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4</xdr:col>
      <xdr:colOff>243684</xdr:colOff>
      <xdr:row>15</xdr:row>
      <xdr:rowOff>100092</xdr:rowOff>
    </xdr:from>
    <xdr:to>
      <xdr:col>24</xdr:col>
      <xdr:colOff>192486</xdr:colOff>
      <xdr:row>37</xdr:row>
      <xdr:rowOff>49293</xdr:rowOff>
    </xdr:to>
    <xdr:graphicFrame macro="">
      <xdr:nvGraphicFramePr>
        <xdr:cNvPr id="15" name="Chart 11">
          <a:extLst>
            <a:ext uri="{FF2B5EF4-FFF2-40B4-BE49-F238E27FC236}">
              <a16:creationId xmlns:a16="http://schemas.microsoft.com/office/drawing/2014/main" id="{D22A6B0F-9AAC-29E6-896D-7DC00EB277A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0</xdr:col>
      <xdr:colOff>111125</xdr:colOff>
      <xdr:row>16</xdr:row>
      <xdr:rowOff>0</xdr:rowOff>
    </xdr:from>
    <xdr:to>
      <xdr:col>3</xdr:col>
      <xdr:colOff>445690</xdr:colOff>
      <xdr:row>32</xdr:row>
      <xdr:rowOff>7144</xdr:rowOff>
    </xdr:to>
    <mc:AlternateContent xmlns:mc="http://schemas.openxmlformats.org/markup-compatibility/2006" xmlns:a14="http://schemas.microsoft.com/office/drawing/2010/main">
      <mc:Choice Requires="a14">
        <xdr:graphicFrame macro="">
          <xdr:nvGraphicFramePr>
            <xdr:cNvPr id="3" name="Year">
              <a:extLst>
                <a:ext uri="{FF2B5EF4-FFF2-40B4-BE49-F238E27FC236}">
                  <a16:creationId xmlns:a16="http://schemas.microsoft.com/office/drawing/2014/main" id="{D1527F54-6F33-4B52-8D0A-D443B182C182}"/>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111125" y="2444750"/>
              <a:ext cx="1787128" cy="203914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79377</xdr:colOff>
      <xdr:row>32</xdr:row>
      <xdr:rowOff>94853</xdr:rowOff>
    </xdr:from>
    <xdr:to>
      <xdr:col>3</xdr:col>
      <xdr:colOff>455613</xdr:colOff>
      <xdr:row>48</xdr:row>
      <xdr:rowOff>90090</xdr:rowOff>
    </xdr:to>
    <mc:AlternateContent xmlns:mc="http://schemas.openxmlformats.org/markup-compatibility/2006">
      <mc:Choice xmlns:a14="http://schemas.microsoft.com/office/drawing/2010/main" Requires="a14">
        <xdr:graphicFrame macro="">
          <xdr:nvGraphicFramePr>
            <xdr:cNvPr id="8" name="Format 1">
              <a:extLst>
                <a:ext uri="{FF2B5EF4-FFF2-40B4-BE49-F238E27FC236}">
                  <a16:creationId xmlns:a16="http://schemas.microsoft.com/office/drawing/2014/main" id="{1DF95D2D-022F-42FB-9495-7F07F03EA656}"/>
                </a:ext>
              </a:extLst>
            </xdr:cNvPr>
            <xdr:cNvGraphicFramePr/>
          </xdr:nvGraphicFramePr>
          <xdr:xfrm>
            <a:off x="0" y="0"/>
            <a:ext cx="0" cy="0"/>
          </xdr:xfrm>
          <a:graphic>
            <a:graphicData uri="http://schemas.microsoft.com/office/drawing/2010/slicer">
              <sle:slicer xmlns:sle="http://schemas.microsoft.com/office/drawing/2010/slicer" name="Format 1"/>
            </a:graphicData>
          </a:graphic>
        </xdr:graphicFrame>
      </mc:Choice>
      <mc:Fallback>
        <xdr:sp macro="" textlink="">
          <xdr:nvSpPr>
            <xdr:cNvPr id="0" name=""/>
            <xdr:cNvSpPr>
              <a:spLocks noTextEdit="1"/>
            </xdr:cNvSpPr>
          </xdr:nvSpPr>
          <xdr:spPr>
            <a:xfrm>
              <a:off x="79377" y="4827720"/>
              <a:ext cx="1849436" cy="212883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91282</xdr:colOff>
      <xdr:row>49</xdr:row>
      <xdr:rowOff>89297</xdr:rowOff>
    </xdr:from>
    <xdr:to>
      <xdr:col>3</xdr:col>
      <xdr:colOff>467518</xdr:colOff>
      <xdr:row>64</xdr:row>
      <xdr:rowOff>108347</xdr:rowOff>
    </xdr:to>
    <mc:AlternateContent xmlns:mc="http://schemas.openxmlformats.org/markup-compatibility/2006" xmlns:a14="http://schemas.microsoft.com/office/drawing/2010/main">
      <mc:Choice Requires="a14">
        <xdr:graphicFrame macro="">
          <xdr:nvGraphicFramePr>
            <xdr:cNvPr id="11" name="Against 1">
              <a:extLst>
                <a:ext uri="{FF2B5EF4-FFF2-40B4-BE49-F238E27FC236}">
                  <a16:creationId xmlns:a16="http://schemas.microsoft.com/office/drawing/2014/main" id="{B0023A07-9787-40F7-8D20-1C283DE0A25D}"/>
                </a:ext>
              </a:extLst>
            </xdr:cNvPr>
            <xdr:cNvGraphicFramePr/>
          </xdr:nvGraphicFramePr>
          <xdr:xfrm>
            <a:off x="0" y="0"/>
            <a:ext cx="0" cy="0"/>
          </xdr:xfrm>
          <a:graphic>
            <a:graphicData uri="http://schemas.microsoft.com/office/drawing/2010/slicer">
              <sle:slicer xmlns:sle="http://schemas.microsoft.com/office/drawing/2010/slicer" name="Against 1"/>
            </a:graphicData>
          </a:graphic>
        </xdr:graphicFrame>
      </mc:Choice>
      <mc:Fallback xmlns="">
        <xdr:sp macro="" textlink="">
          <xdr:nvSpPr>
            <xdr:cNvPr id="0" name=""/>
            <xdr:cNvSpPr>
              <a:spLocks noTextEdit="1"/>
            </xdr:cNvSpPr>
          </xdr:nvSpPr>
          <xdr:spPr>
            <a:xfrm>
              <a:off x="91282" y="6725047"/>
              <a:ext cx="1828799" cy="19240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200423</xdr:colOff>
      <xdr:row>6</xdr:row>
      <xdr:rowOff>130969</xdr:rowOff>
    </xdr:from>
    <xdr:to>
      <xdr:col>6</xdr:col>
      <xdr:colOff>379016</xdr:colOff>
      <xdr:row>14</xdr:row>
      <xdr:rowOff>46039</xdr:rowOff>
    </xdr:to>
    <mc:AlternateContent xmlns:mc="http://schemas.openxmlformats.org/markup-compatibility/2006" xmlns:tsle="http://schemas.microsoft.com/office/drawing/2012/timeslicer">
      <mc:Choice Requires="tsle">
        <xdr:graphicFrame macro="">
          <xdr:nvGraphicFramePr>
            <xdr:cNvPr id="16" name="Year 1">
              <a:extLst>
                <a:ext uri="{FF2B5EF4-FFF2-40B4-BE49-F238E27FC236}">
                  <a16:creationId xmlns:a16="http://schemas.microsoft.com/office/drawing/2014/main" id="{94504951-D471-471A-99F9-452E96111414}"/>
                </a:ext>
              </a:extLst>
            </xdr:cNvPr>
            <xdr:cNvGraphicFramePr/>
          </xdr:nvGraphicFramePr>
          <xdr:xfrm>
            <a:off x="0" y="0"/>
            <a:ext cx="0" cy="0"/>
          </xdr:xfrm>
          <a:graphic>
            <a:graphicData uri="http://schemas.microsoft.com/office/drawing/2012/timeslicer">
              <tsle:timeslicer name="Year 1"/>
            </a:graphicData>
          </a:graphic>
        </xdr:graphicFrame>
      </mc:Choice>
      <mc:Fallback xmlns="">
        <xdr:sp macro="" textlink="">
          <xdr:nvSpPr>
            <xdr:cNvPr id="0" name=""/>
            <xdr:cNvSpPr>
              <a:spLocks noTextEdit="1"/>
            </xdr:cNvSpPr>
          </xdr:nvSpPr>
          <xdr:spPr>
            <a:xfrm>
              <a:off x="200423" y="892969"/>
              <a:ext cx="3083718" cy="134382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HRUV" refreshedDate="46095.641802314814" createdVersion="8" refreshedVersion="8" minRefreshableVersion="3" recordCount="93" xr:uid="{AF54FFAD-AEC4-45E6-A2E2-98ECEE7FDFD8}">
  <cacheSource type="worksheet">
    <worksheetSource name="Table1"/>
  </cacheSource>
  <cacheFields count="18">
    <cacheField name="Number" numFmtId="0">
      <sharedItems containsSemiMixedTypes="0" containsString="0" containsNumber="1" containsInteger="1" minValue="1" maxValue="93"/>
    </cacheField>
    <cacheField name="Format" numFmtId="0">
      <sharedItems count="4">
        <s v="ODI"/>
        <s v="Test"/>
        <s v="T20"/>
        <s v="T20i"/>
      </sharedItems>
    </cacheField>
    <cacheField name="Inning" numFmtId="0">
      <sharedItems containsSemiMixedTypes="0" containsString="0" containsNumber="1" containsInteger="1" minValue="1" maxValue="4"/>
    </cacheField>
    <cacheField name="Position" numFmtId="0">
      <sharedItems containsMixedTypes="1" containsNumber="1" containsInteger="1" minValue="3" maxValue="6"/>
    </cacheField>
    <cacheField name="Score" numFmtId="0">
      <sharedItems containsSemiMixedTypes="0" containsString="0" containsNumber="1" containsInteger="1" minValue="100" maxValue="254"/>
    </cacheField>
    <cacheField name="Balls" numFmtId="0">
      <sharedItems containsSemiMixedTypes="0" containsString="0" containsNumber="1" containsInteger="1" minValue="50" maxValue="366"/>
    </cacheField>
    <cacheField name="Strike Rate" numFmtId="0">
      <sharedItems containsSemiMixedTypes="0" containsString="0" containsNumber="1" minValue="34.915254240000003" maxValue="226"/>
    </cacheField>
    <cacheField name="Against" numFmtId="0">
      <sharedItems count="17">
        <s v="Sri Lanka"/>
        <s v="Bangladesh"/>
        <s v="Australia"/>
        <s v="New Zealand"/>
        <s v="England"/>
        <s v="West Indies"/>
        <s v="Pakistan"/>
        <s v="Zimbabwe"/>
        <s v="South Africa"/>
        <s v="Gujarat Lions"/>
        <s v="Rising Pune Supergiants"/>
        <s v="Kings XI Punjab"/>
        <s v="Kolkata Knight Riders"/>
        <s v="Afghanistan"/>
        <s v="Sunrisers Hyderabad"/>
        <s v="Gujarat Titans"/>
        <s v="Rajasthan Royals"/>
      </sharedItems>
    </cacheField>
    <cacheField name="Venue" numFmtId="0">
      <sharedItems/>
    </cacheField>
    <cacheField name="Host Nation" numFmtId="0">
      <sharedItems count="10">
        <s v="India"/>
        <s v="Bangladesh"/>
        <s v="England"/>
        <s v="Australia"/>
        <s v="Sri Lanka"/>
        <s v="West Indies"/>
        <s v="Zimbabwe"/>
        <s v="South Africa"/>
        <s v="New Zealand"/>
        <s v="UAE"/>
      </sharedItems>
    </cacheField>
    <cacheField name="Series" numFmtId="0">
      <sharedItems/>
    </cacheField>
    <cacheField name="Year" numFmtId="0">
      <sharedItems containsSemiMixedTypes="0" containsString="0" containsNumber="1" containsInteger="1" minValue="2009" maxValue="2026" count="16">
        <n v="2009"/>
        <n v="2010"/>
        <n v="2011"/>
        <n v="2012"/>
        <n v="2013"/>
        <n v="2014"/>
        <n v="2015"/>
        <n v="2016"/>
        <n v="2017"/>
        <n v="2018"/>
        <n v="2019"/>
        <n v="2022"/>
        <n v="2023"/>
        <n v="2024"/>
        <n v="2025"/>
        <n v="2026"/>
      </sharedItems>
    </cacheField>
    <cacheField name="Team Total" numFmtId="0">
      <sharedItems containsSemiMixedTypes="0" containsString="0" containsNumber="1" containsInteger="1" minValue="166" maxValue="687"/>
    </cacheField>
    <cacheField name="Wickets lost" numFmtId="0">
      <sharedItems containsSemiMixedTypes="0" containsString="0" containsNumber="1" containsInteger="1" minValue="1" maxValue="10"/>
    </cacheField>
    <cacheField name="Not Out" numFmtId="0">
      <sharedItems/>
    </cacheField>
    <cacheField name="MOTM" numFmtId="0">
      <sharedItems/>
    </cacheField>
    <cacheField name="Win" numFmtId="0">
      <sharedItems count="4">
        <s v="Yes"/>
        <s v="No"/>
        <s v="Drawn"/>
        <s v="Tie"/>
      </sharedItems>
    </cacheField>
    <cacheField name="Captain" numFmtId="0">
      <sharedItems count="2">
        <s v="No"/>
        <s v="Yes"/>
      </sharedItems>
    </cacheField>
  </cacheFields>
  <extLst>
    <ext xmlns:x14="http://schemas.microsoft.com/office/spreadsheetml/2009/9/main" uri="{725AE2AE-9491-48be-B2B4-4EB974FC3084}">
      <x14:pivotCacheDefinition pivotCacheId="636216805"/>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SDC8" refreshedDate="46097.478117013889" createdVersion="8" refreshedVersion="8" minRefreshableVersion="3" recordCount="94" xr:uid="{C5E04067-82C2-4E2B-B087-7D96AEA70859}">
  <cacheSource type="worksheet">
    <worksheetSource ref="A1:R1048576" sheet="Sheet1"/>
  </cacheSource>
  <cacheFields count="20">
    <cacheField name="Number" numFmtId="0">
      <sharedItems containsString="0" containsBlank="1" containsNumber="1" containsInteger="1" minValue="1" maxValue="93"/>
    </cacheField>
    <cacheField name="Format" numFmtId="0">
      <sharedItems containsBlank="1"/>
    </cacheField>
    <cacheField name="Inning" numFmtId="0">
      <sharedItems containsString="0" containsBlank="1" containsNumber="1" containsInteger="1" minValue="1" maxValue="4"/>
    </cacheField>
    <cacheField name="Position" numFmtId="0">
      <sharedItems containsBlank="1" containsMixedTypes="1" containsNumber="1" containsInteger="1" minValue="3" maxValue="6"/>
    </cacheField>
    <cacheField name="Score" numFmtId="0">
      <sharedItems containsString="0" containsBlank="1" containsNumber="1" containsInteger="1" minValue="100" maxValue="254"/>
    </cacheField>
    <cacheField name="Balls" numFmtId="0">
      <sharedItems containsString="0" containsBlank="1" containsNumber="1" containsInteger="1" minValue="50" maxValue="366"/>
    </cacheField>
    <cacheField name="Strike Rate" numFmtId="0">
      <sharedItems containsString="0" containsBlank="1" containsNumber="1" minValue="34.915254240000003" maxValue="226"/>
    </cacheField>
    <cacheField name="Against" numFmtId="0">
      <sharedItems containsBlank="1"/>
    </cacheField>
    <cacheField name="Venue" numFmtId="0">
      <sharedItems containsBlank="1"/>
    </cacheField>
    <cacheField name="Host Nation" numFmtId="0">
      <sharedItems containsBlank="1"/>
    </cacheField>
    <cacheField name="Series" numFmtId="0">
      <sharedItems containsBlank="1"/>
    </cacheField>
    <cacheField name="Year" numFmtId="0">
      <sharedItems containsNonDate="0" containsDate="1" containsString="0" containsBlank="1" minDate="2009-12-24T00:00:00" maxDate="2026-01-19T00:00:00" count="93">
        <d v="2009-12-24T00:00:00"/>
        <d v="2010-01-11T00:00:00"/>
        <d v="2010-10-20T00:00:00"/>
        <d v="2010-11-28T00:00:00"/>
        <d v="2011-02-19T00:00:00"/>
        <d v="2011-09-16T00:00:00"/>
        <d v="2011-10-17T00:00:00"/>
        <d v="2011-12-02T00:00:00"/>
        <d v="2012-01-24T00:00:00"/>
        <d v="2012-02-28T00:00:00"/>
        <d v="2012-03-13T00:00:00"/>
        <d v="2012-03-18T00:00:00"/>
        <d v="2012-07-21T00:00:00"/>
        <d v="2012-07-31T00:00:00"/>
        <d v="2012-08-31T00:00:00"/>
        <d v="2012-12-13T00:00:00"/>
        <d v="2013-02-22T00:00:00"/>
        <d v="2013-07-05T00:00:00"/>
        <d v="2013-07-24T00:00:00"/>
        <d v="2013-10-16T00:00:00"/>
        <d v="2013-10-30T00:00:00"/>
        <d v="2013-12-18T00:00:00"/>
        <d v="2014-01-19T00:00:00"/>
        <d v="2014-02-14T00:00:00"/>
        <d v="2014-02-26T00:00:00"/>
        <d v="2014-10-17T00:00:00"/>
        <d v="2014-11-16T00:00:00"/>
        <d v="2014-12-09T00:00:00"/>
        <d v="2014-12-26T00:00:00"/>
        <d v="2015-01-06T00:00:00"/>
        <d v="2015-02-15T00:00:00"/>
        <d v="2015-08-12T00:00:00"/>
        <d v="2015-10-22T00:00:00"/>
        <d v="2016-01-17T00:00:00"/>
        <d v="2016-01-20T00:00:00"/>
        <d v="2016-04-24T00:00:00"/>
        <d v="2016-05-07T00:00:00"/>
        <d v="2016-05-14T00:00:00"/>
        <d v="2016-05-18T00:00:00"/>
        <d v="2016-07-21T00:00:00"/>
        <d v="2016-10-08T00:00:00"/>
        <d v="2016-10-23T00:00:00"/>
        <d v="2016-11-17T00:00:00"/>
        <d v="2016-12-08T00:00:00"/>
        <d v="2017-01-15T00:00:00"/>
        <d v="2017-02-09T00:00:00"/>
        <d v="2017-07-06T00:00:00"/>
        <d v="2017-07-26T00:00:00"/>
        <d v="2017-08-31T00:00:00"/>
        <d v="2017-09-03T00:00:00"/>
        <d v="2017-10-22T00:00:00"/>
        <d v="2017-10-29T00:00:00"/>
        <d v="2017-11-16T00:00:00"/>
        <d v="2017-11-24T00:00:00"/>
        <d v="2017-12-02T00:00:00"/>
        <d v="2018-01-13T00:00:00"/>
        <d v="2018-02-01T00:00:00"/>
        <d v="2018-02-07T00:00:00"/>
        <d v="2018-02-16T00:00:00"/>
        <d v="2018-08-01T00:00:00"/>
        <d v="2018-08-18T00:00:00"/>
        <d v="2018-10-04T00:00:00"/>
        <d v="2018-10-21T00:00:00"/>
        <d v="2018-10-24T00:00:00"/>
        <d v="2018-10-27T00:00:00"/>
        <d v="2018-12-14T00:00:00"/>
        <d v="2019-01-15T00:00:00"/>
        <d v="2019-03-05T00:00:00"/>
        <d v="2019-03-08T00:00:00"/>
        <d v="2019-04-19T00:00:00"/>
        <d v="2019-08-11T00:00:00"/>
        <d v="2019-08-14T00:00:00"/>
        <d v="2019-10-10T00:00:00"/>
        <d v="2019-11-22T00:00:00"/>
        <d v="2022-09-08T00:00:00"/>
        <d v="2022-12-10T00:00:00"/>
        <d v="2023-01-10T00:00:00"/>
        <d v="2023-01-15T00:00:00"/>
        <d v="2023-03-09T00:00:00"/>
        <d v="2023-05-18T00:00:00"/>
        <d v="2023-05-21T00:00:00"/>
        <d v="2023-07-20T00:00:00"/>
        <d v="2023-09-11T00:00:00"/>
        <d v="2023-10-19T00:00:00"/>
        <d v="2023-11-05T00:00:00"/>
        <d v="2023-11-15T00:00:00"/>
        <d v="2024-04-06T00:00:00"/>
        <d v="2024-11-22T00:00:00"/>
        <d v="2025-02-23T00:00:00"/>
        <d v="2025-11-30T00:00:00"/>
        <d v="2025-12-03T00:00:00"/>
        <d v="2026-01-18T00:00:00"/>
        <m/>
      </sharedItems>
      <fieldGroup par="19" base="11">
        <rangePr groupBy="months" startDate="2009-12-24T00:00:00" endDate="2026-01-19T00:00:00"/>
        <groupItems count="14">
          <s v="(blank)"/>
          <s v="Jan"/>
          <s v="Feb"/>
          <s v="Mar"/>
          <s v="Apr"/>
          <s v="May"/>
          <s v="Jun"/>
          <s v="Jul"/>
          <s v="Aug"/>
          <s v="Sep"/>
          <s v="Oct"/>
          <s v="Nov"/>
          <s v="Dec"/>
          <s v="&gt;19-01-2026"/>
        </groupItems>
      </fieldGroup>
    </cacheField>
    <cacheField name="Team Total" numFmtId="0">
      <sharedItems containsString="0" containsBlank="1" containsNumber="1" containsInteger="1" minValue="166" maxValue="687"/>
    </cacheField>
    <cacheField name="Wickets lost" numFmtId="0">
      <sharedItems containsString="0" containsBlank="1" containsNumber="1" containsInteger="1" minValue="1" maxValue="10"/>
    </cacheField>
    <cacheField name="Not Out" numFmtId="0">
      <sharedItems containsBlank="1"/>
    </cacheField>
    <cacheField name="MOTM" numFmtId="0">
      <sharedItems containsBlank="1"/>
    </cacheField>
    <cacheField name="Win" numFmtId="0">
      <sharedItems containsBlank="1"/>
    </cacheField>
    <cacheField name="Captain" numFmtId="0">
      <sharedItems containsBlank="1"/>
    </cacheField>
    <cacheField name="Quarters" numFmtId="0" databaseField="0">
      <fieldGroup base="11">
        <rangePr groupBy="quarters" startDate="2009-12-24T00:00:00" endDate="2026-01-19T00:00:00"/>
        <groupItems count="6">
          <s v="&lt;24-12-2009"/>
          <s v="Qtr1"/>
          <s v="Qtr2"/>
          <s v="Qtr3"/>
          <s v="Qtr4"/>
          <s v="&gt;19-01-2026"/>
        </groupItems>
      </fieldGroup>
    </cacheField>
    <cacheField name="Years" numFmtId="0" databaseField="0">
      <fieldGroup base="11">
        <rangePr groupBy="years" startDate="2009-12-24T00:00:00" endDate="2026-01-19T00:00:00"/>
        <groupItems count="20">
          <s v="&lt;24-12-2009"/>
          <s v="2009"/>
          <s v="2010"/>
          <s v="2011"/>
          <s v="2012"/>
          <s v="2013"/>
          <s v="2014"/>
          <s v="2015"/>
          <s v="2016"/>
          <s v="2017"/>
          <s v="2018"/>
          <s v="2019"/>
          <s v="2020"/>
          <s v="2021"/>
          <s v="2022"/>
          <s v="2023"/>
          <s v="2024"/>
          <s v="2025"/>
          <s v="2026"/>
          <s v="&gt;19-01-2026"/>
        </groupItems>
      </fieldGroup>
    </cacheField>
  </cacheFields>
  <extLst>
    <ext xmlns:x14="http://schemas.microsoft.com/office/spreadsheetml/2009/9/main" uri="{725AE2AE-9491-48be-B2B4-4EB974FC3084}">
      <x14:pivotCacheDefinition pivotCacheId="102529781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3">
  <r>
    <n v="1"/>
    <x v="0"/>
    <n v="2"/>
    <n v="4"/>
    <n v="107"/>
    <n v="114"/>
    <n v="93.85964912"/>
    <x v="0"/>
    <s v="Kolkata"/>
    <x v="0"/>
    <s v="Bilateral"/>
    <x v="0"/>
    <n v="316"/>
    <n v="3"/>
    <s v="No"/>
    <s v="No"/>
    <x v="0"/>
    <x v="0"/>
  </r>
  <r>
    <n v="2"/>
    <x v="0"/>
    <n v="2"/>
    <n v="3"/>
    <n v="102"/>
    <n v="95"/>
    <n v="107.36842110000001"/>
    <x v="1"/>
    <s v="Mirpur"/>
    <x v="1"/>
    <s v="Tri-Series"/>
    <x v="1"/>
    <n v="249"/>
    <n v="4"/>
    <s v="Yes"/>
    <s v="Yes"/>
    <x v="0"/>
    <x v="0"/>
  </r>
  <r>
    <n v="3"/>
    <x v="0"/>
    <n v="2"/>
    <n v="3"/>
    <n v="118"/>
    <n v="121"/>
    <n v="97.520661160000003"/>
    <x v="2"/>
    <s v="Vizag"/>
    <x v="0"/>
    <s v="Bilateral"/>
    <x v="1"/>
    <n v="292"/>
    <n v="5"/>
    <s v="No"/>
    <s v="Yes"/>
    <x v="0"/>
    <x v="0"/>
  </r>
  <r>
    <n v="4"/>
    <x v="0"/>
    <n v="1"/>
    <n v="3"/>
    <n v="105"/>
    <n v="104"/>
    <n v="100.9615385"/>
    <x v="3"/>
    <s v="Guwahati"/>
    <x v="0"/>
    <s v="Bilateral"/>
    <x v="1"/>
    <n v="276"/>
    <n v="10"/>
    <s v="No"/>
    <s v="Yes"/>
    <x v="0"/>
    <x v="0"/>
  </r>
  <r>
    <n v="5"/>
    <x v="0"/>
    <n v="1"/>
    <n v="4"/>
    <n v="100"/>
    <n v="83"/>
    <n v="120.4819277"/>
    <x v="1"/>
    <s v="Mirpur"/>
    <x v="1"/>
    <s v="World Cup"/>
    <x v="2"/>
    <n v="370"/>
    <n v="4"/>
    <s v="Yes"/>
    <s v="No"/>
    <x v="0"/>
    <x v="0"/>
  </r>
  <r>
    <n v="6"/>
    <x v="0"/>
    <n v="1"/>
    <n v="4"/>
    <n v="107"/>
    <n v="93"/>
    <n v="115.05376339999999"/>
    <x v="4"/>
    <s v="Cardiff"/>
    <x v="2"/>
    <s v="Bilateral"/>
    <x v="2"/>
    <n v="304"/>
    <n v="6"/>
    <s v="No"/>
    <s v="No"/>
    <x v="1"/>
    <x v="0"/>
  </r>
  <r>
    <n v="7"/>
    <x v="0"/>
    <n v="2"/>
    <n v="4"/>
    <n v="112"/>
    <n v="98"/>
    <n v="114.2857143"/>
    <x v="4"/>
    <s v="Delhi"/>
    <x v="0"/>
    <s v="Bilateral"/>
    <x v="2"/>
    <n v="238"/>
    <n v="2"/>
    <s v="Yes"/>
    <s v="Yes"/>
    <x v="0"/>
    <x v="0"/>
  </r>
  <r>
    <n v="8"/>
    <x v="0"/>
    <n v="2"/>
    <n v="4"/>
    <n v="117"/>
    <n v="123"/>
    <n v="95.12195122"/>
    <x v="5"/>
    <s v="Vizag"/>
    <x v="0"/>
    <s v="Bilateral"/>
    <x v="2"/>
    <n v="270"/>
    <n v="5"/>
    <s v="No"/>
    <s v="Yes"/>
    <x v="0"/>
    <x v="0"/>
  </r>
  <r>
    <n v="9"/>
    <x v="1"/>
    <n v="2"/>
    <n v="6"/>
    <n v="116"/>
    <n v="213"/>
    <n v="54.460093899999997"/>
    <x v="2"/>
    <s v="Adelaide"/>
    <x v="3"/>
    <s v="Bilateral"/>
    <x v="3"/>
    <n v="272"/>
    <n v="10"/>
    <s v="No"/>
    <s v="No"/>
    <x v="1"/>
    <x v="0"/>
  </r>
  <r>
    <n v="10"/>
    <x v="0"/>
    <n v="2"/>
    <n v="4"/>
    <n v="133"/>
    <n v="86"/>
    <n v="154.65116280000001"/>
    <x v="0"/>
    <s v="Hobart"/>
    <x v="3"/>
    <s v="Tri-Series"/>
    <x v="3"/>
    <n v="320"/>
    <n v="4"/>
    <s v="Yes"/>
    <s v="Yes"/>
    <x v="0"/>
    <x v="0"/>
  </r>
  <r>
    <n v="11"/>
    <x v="0"/>
    <n v="1"/>
    <n v="3"/>
    <n v="108"/>
    <n v="120"/>
    <n v="90"/>
    <x v="0"/>
    <s v="Mirpur"/>
    <x v="1"/>
    <s v="Asia Cup"/>
    <x v="3"/>
    <n v="304"/>
    <n v="3"/>
    <s v="No"/>
    <s v="Yes"/>
    <x v="0"/>
    <x v="0"/>
  </r>
  <r>
    <n v="12"/>
    <x v="0"/>
    <n v="2"/>
    <n v="3"/>
    <n v="183"/>
    <n v="148"/>
    <n v="123.6486486"/>
    <x v="6"/>
    <s v="Mirpur"/>
    <x v="1"/>
    <s v="Asia Cup"/>
    <x v="3"/>
    <n v="330"/>
    <n v="4"/>
    <s v="No"/>
    <s v="Yes"/>
    <x v="0"/>
    <x v="0"/>
  </r>
  <r>
    <n v="13"/>
    <x v="0"/>
    <n v="1"/>
    <n v="3"/>
    <n v="106"/>
    <n v="113"/>
    <n v="93.805309730000005"/>
    <x v="0"/>
    <s v="Hambantota"/>
    <x v="4"/>
    <s v="Bilateral"/>
    <x v="3"/>
    <n v="314"/>
    <n v="6"/>
    <s v="No"/>
    <s v="Yes"/>
    <x v="0"/>
    <x v="0"/>
  </r>
  <r>
    <n v="14"/>
    <x v="0"/>
    <n v="2"/>
    <n v="3"/>
    <n v="128"/>
    <n v="119"/>
    <n v="107.5630252"/>
    <x v="0"/>
    <s v="Colombo"/>
    <x v="4"/>
    <s v="Bilateral"/>
    <x v="3"/>
    <n v="255"/>
    <n v="4"/>
    <s v="Yes"/>
    <s v="Yes"/>
    <x v="0"/>
    <x v="0"/>
  </r>
  <r>
    <n v="15"/>
    <x v="1"/>
    <n v="2"/>
    <n v="5"/>
    <n v="103"/>
    <n v="193"/>
    <n v="53.367875650000002"/>
    <x v="3"/>
    <s v="Bengaluru"/>
    <x v="0"/>
    <s v="Bilateral"/>
    <x v="3"/>
    <n v="353"/>
    <n v="10"/>
    <s v="No"/>
    <s v="Yes"/>
    <x v="0"/>
    <x v="0"/>
  </r>
  <r>
    <n v="16"/>
    <x v="1"/>
    <n v="2"/>
    <n v="5"/>
    <n v="103"/>
    <n v="295"/>
    <n v="34.915254240000003"/>
    <x v="4"/>
    <s v="Nagpur"/>
    <x v="0"/>
    <s v="Bilateral"/>
    <x v="3"/>
    <n v="326"/>
    <n v="9"/>
    <s v="No"/>
    <s v="No"/>
    <x v="2"/>
    <x v="0"/>
  </r>
  <r>
    <n v="17"/>
    <x v="1"/>
    <n v="2"/>
    <n v="5"/>
    <n v="107"/>
    <n v="206"/>
    <n v="51.941747569999997"/>
    <x v="2"/>
    <s v="Chennai"/>
    <x v="0"/>
    <s v="Bilateral"/>
    <x v="4"/>
    <n v="572"/>
    <n v="10"/>
    <s v="No"/>
    <s v="No"/>
    <x v="0"/>
    <x v="0"/>
  </r>
  <r>
    <n v="18"/>
    <x v="0"/>
    <n v="1"/>
    <n v="3"/>
    <n v="102"/>
    <n v="83"/>
    <n v="122.89156629999999"/>
    <x v="5"/>
    <s v="Port Of Spain"/>
    <x v="5"/>
    <s v="Tri-Series"/>
    <x v="4"/>
    <n v="311"/>
    <n v="7"/>
    <s v="No"/>
    <s v="Yes"/>
    <x v="0"/>
    <x v="1"/>
  </r>
  <r>
    <n v="19"/>
    <x v="0"/>
    <n v="2"/>
    <n v="3"/>
    <n v="115"/>
    <n v="108"/>
    <n v="106.4814815"/>
    <x v="7"/>
    <s v="Harare"/>
    <x v="6"/>
    <s v="Bilateral"/>
    <x v="4"/>
    <n v="230"/>
    <n v="4"/>
    <s v="No"/>
    <s v="Yes"/>
    <x v="0"/>
    <x v="1"/>
  </r>
  <r>
    <n v="20"/>
    <x v="0"/>
    <n v="2"/>
    <n v="3"/>
    <n v="100"/>
    <n v="52"/>
    <n v="192.30769230000001"/>
    <x v="2"/>
    <s v="Jaipur"/>
    <x v="0"/>
    <s v="Bilateral"/>
    <x v="4"/>
    <n v="362"/>
    <n v="1"/>
    <s v="Yes"/>
    <s v="No"/>
    <x v="0"/>
    <x v="0"/>
  </r>
  <r>
    <n v="21"/>
    <x v="0"/>
    <n v="2"/>
    <n v="3"/>
    <n v="115"/>
    <n v="66"/>
    <n v="174.24242419999999"/>
    <x v="2"/>
    <s v="Nagpur"/>
    <x v="0"/>
    <s v="Bilateral"/>
    <x v="4"/>
    <n v="351"/>
    <n v="4"/>
    <s v="Yes"/>
    <s v="Yes"/>
    <x v="0"/>
    <x v="0"/>
  </r>
  <r>
    <n v="22"/>
    <x v="1"/>
    <n v="1"/>
    <n v="4"/>
    <n v="119"/>
    <n v="181"/>
    <n v="65.745856349999997"/>
    <x v="8"/>
    <s v="Johannesburg"/>
    <x v="7"/>
    <s v="Bilateral"/>
    <x v="4"/>
    <n v="280"/>
    <n v="10"/>
    <s v="No"/>
    <s v="Yes"/>
    <x v="0"/>
    <x v="0"/>
  </r>
  <r>
    <n v="23"/>
    <x v="0"/>
    <n v="2"/>
    <n v="3"/>
    <n v="123"/>
    <n v="111"/>
    <n v="110.8108108"/>
    <x v="3"/>
    <s v="Napier"/>
    <x v="8"/>
    <s v="Bilateral"/>
    <x v="5"/>
    <n v="268"/>
    <n v="10"/>
    <s v="No"/>
    <s v="No"/>
    <x v="1"/>
    <x v="0"/>
  </r>
  <r>
    <n v="24"/>
    <x v="1"/>
    <n v="4"/>
    <n v="4"/>
    <n v="105"/>
    <n v="135"/>
    <n v="77.777777779999994"/>
    <x v="3"/>
    <s v="Wellington"/>
    <x v="8"/>
    <s v="Bilateral"/>
    <x v="5"/>
    <n v="166"/>
    <n v="3"/>
    <s v="Yes"/>
    <s v="No"/>
    <x v="2"/>
    <x v="0"/>
  </r>
  <r>
    <n v="25"/>
    <x v="0"/>
    <n v="2"/>
    <n v="3"/>
    <n v="136"/>
    <n v="122"/>
    <n v="111.47540979999999"/>
    <x v="1"/>
    <s v="Fatullah"/>
    <x v="1"/>
    <s v="Asia Cup"/>
    <x v="5"/>
    <n v="280"/>
    <n v="4"/>
    <s v="No"/>
    <s v="Yes"/>
    <x v="0"/>
    <x v="1"/>
  </r>
  <r>
    <n v="26"/>
    <x v="0"/>
    <n v="1"/>
    <n v="3"/>
    <n v="127"/>
    <n v="114"/>
    <n v="111.4035088"/>
    <x v="5"/>
    <s v="Dharamshala"/>
    <x v="0"/>
    <s v="Bilateral"/>
    <x v="5"/>
    <n v="330"/>
    <n v="6"/>
    <s v="No"/>
    <s v="Yes"/>
    <x v="0"/>
    <x v="0"/>
  </r>
  <r>
    <n v="27"/>
    <x v="0"/>
    <n v="2"/>
    <n v="4"/>
    <n v="139"/>
    <n v="126"/>
    <n v="110.31746029999999"/>
    <x v="0"/>
    <s v="Ranchi"/>
    <x v="0"/>
    <s v="Bilateral"/>
    <x v="5"/>
    <n v="288"/>
    <n v="3"/>
    <s v="Yes"/>
    <s v="No"/>
    <x v="0"/>
    <x v="1"/>
  </r>
  <r>
    <n v="28"/>
    <x v="1"/>
    <n v="2"/>
    <n v="4"/>
    <n v="115"/>
    <n v="184"/>
    <n v="62.5"/>
    <x v="2"/>
    <s v="Adelaide"/>
    <x v="3"/>
    <s v="Bilateral"/>
    <x v="5"/>
    <n v="444"/>
    <n v="10"/>
    <s v="No"/>
    <s v="No"/>
    <x v="1"/>
    <x v="1"/>
  </r>
  <r>
    <n v="29"/>
    <x v="1"/>
    <n v="4"/>
    <n v="4"/>
    <n v="141"/>
    <n v="175"/>
    <n v="80.571428569999995"/>
    <x v="2"/>
    <s v="Adelaide"/>
    <x v="3"/>
    <s v="Bilateral"/>
    <x v="5"/>
    <n v="315"/>
    <n v="10"/>
    <s v="No"/>
    <s v="No"/>
    <x v="1"/>
    <x v="1"/>
  </r>
  <r>
    <n v="30"/>
    <x v="1"/>
    <n v="2"/>
    <n v="4"/>
    <n v="169"/>
    <n v="272"/>
    <n v="62.132352939999997"/>
    <x v="2"/>
    <s v="Melbourne"/>
    <x v="3"/>
    <s v="Bilateral"/>
    <x v="5"/>
    <n v="465"/>
    <n v="10"/>
    <s v="No"/>
    <s v="No"/>
    <x v="2"/>
    <x v="0"/>
  </r>
  <r>
    <n v="31"/>
    <x v="1"/>
    <n v="2"/>
    <n v="4"/>
    <n v="147"/>
    <n v="230"/>
    <n v="63.913043479999999"/>
    <x v="2"/>
    <s v="Sydney"/>
    <x v="3"/>
    <s v="Bilateral"/>
    <x v="6"/>
    <n v="475"/>
    <n v="10"/>
    <s v="No"/>
    <s v="No"/>
    <x v="2"/>
    <x v="1"/>
  </r>
  <r>
    <n v="32"/>
    <x v="0"/>
    <n v="1"/>
    <n v="3"/>
    <n v="107"/>
    <n v="126"/>
    <n v="84.920634919999998"/>
    <x v="6"/>
    <s v="Adelaide"/>
    <x v="3"/>
    <s v="World Cup"/>
    <x v="6"/>
    <n v="300"/>
    <n v="7"/>
    <s v="No"/>
    <s v="Yes"/>
    <x v="0"/>
    <x v="0"/>
  </r>
  <r>
    <n v="33"/>
    <x v="1"/>
    <n v="2"/>
    <n v="4"/>
    <n v="103"/>
    <n v="191"/>
    <n v="53.926701569999999"/>
    <x v="0"/>
    <s v="Galle"/>
    <x v="4"/>
    <s v="Bilateral"/>
    <x v="6"/>
    <n v="375"/>
    <n v="10"/>
    <s v="No"/>
    <s v="No"/>
    <x v="1"/>
    <x v="1"/>
  </r>
  <r>
    <n v="34"/>
    <x v="0"/>
    <n v="1"/>
    <n v="3"/>
    <n v="138"/>
    <n v="140"/>
    <n v="98.571428569999995"/>
    <x v="8"/>
    <s v="Chennai"/>
    <x v="0"/>
    <s v="Bilateral"/>
    <x v="6"/>
    <n v="299"/>
    <n v="8"/>
    <s v="No"/>
    <s v="Yes"/>
    <x v="0"/>
    <x v="0"/>
  </r>
  <r>
    <n v="35"/>
    <x v="0"/>
    <n v="1"/>
    <n v="3"/>
    <n v="117"/>
    <n v="117"/>
    <n v="100"/>
    <x v="2"/>
    <s v="Melbourne"/>
    <x v="3"/>
    <s v="Bilateral"/>
    <x v="7"/>
    <n v="295"/>
    <n v="6"/>
    <s v="No"/>
    <s v="No"/>
    <x v="1"/>
    <x v="0"/>
  </r>
  <r>
    <n v="36"/>
    <x v="0"/>
    <n v="2"/>
    <n v="3"/>
    <n v="106"/>
    <n v="92"/>
    <n v="115.2173913"/>
    <x v="2"/>
    <s v="Canberra"/>
    <x v="3"/>
    <s v="Bilateral"/>
    <x v="7"/>
    <n v="323"/>
    <n v="10"/>
    <s v="No"/>
    <s v="No"/>
    <x v="1"/>
    <x v="0"/>
  </r>
  <r>
    <n v="37"/>
    <x v="2"/>
    <n v="1"/>
    <s v="Open"/>
    <n v="100"/>
    <n v="63"/>
    <n v="158.7301587"/>
    <x v="9"/>
    <s v="Rajkot"/>
    <x v="0"/>
    <s v="IPL"/>
    <x v="7"/>
    <n v="180"/>
    <n v="2"/>
    <s v="Yes"/>
    <s v="Yes"/>
    <x v="1"/>
    <x v="1"/>
  </r>
  <r>
    <n v="38"/>
    <x v="2"/>
    <n v="2"/>
    <s v="Open"/>
    <n v="108"/>
    <n v="58"/>
    <n v="186.20689659999999"/>
    <x v="10"/>
    <s v="Bengaluru"/>
    <x v="0"/>
    <s v="IPL"/>
    <x v="7"/>
    <n v="195"/>
    <n v="3"/>
    <s v="Yes"/>
    <s v="Yes"/>
    <x v="0"/>
    <x v="1"/>
  </r>
  <r>
    <n v="39"/>
    <x v="2"/>
    <n v="1"/>
    <s v="Open"/>
    <n v="109"/>
    <n v="55"/>
    <n v="198.18181820000001"/>
    <x v="9"/>
    <s v="Bengaluru"/>
    <x v="0"/>
    <s v="IPL"/>
    <x v="7"/>
    <n v="248"/>
    <n v="3"/>
    <s v="No"/>
    <s v="No"/>
    <x v="0"/>
    <x v="1"/>
  </r>
  <r>
    <n v="40"/>
    <x v="2"/>
    <n v="1"/>
    <s v="Open"/>
    <n v="113"/>
    <n v="50"/>
    <n v="226"/>
    <x v="11"/>
    <s v="Bengaluru"/>
    <x v="0"/>
    <s v="IPL"/>
    <x v="7"/>
    <n v="211"/>
    <n v="3"/>
    <s v="No"/>
    <s v="Yes"/>
    <x v="0"/>
    <x v="1"/>
  </r>
  <r>
    <n v="41"/>
    <x v="1"/>
    <n v="1"/>
    <n v="4"/>
    <n v="200"/>
    <n v="283"/>
    <n v="70.671378090000005"/>
    <x v="5"/>
    <s v="North Sound"/>
    <x v="5"/>
    <s v="Bilateral"/>
    <x v="7"/>
    <n v="566"/>
    <n v="8"/>
    <s v="No"/>
    <s v="No"/>
    <x v="0"/>
    <x v="1"/>
  </r>
  <r>
    <n v="42"/>
    <x v="1"/>
    <n v="1"/>
    <n v="4"/>
    <n v="211"/>
    <n v="366"/>
    <n v="57.650273220000003"/>
    <x v="3"/>
    <s v="Indore"/>
    <x v="0"/>
    <s v="Bilateral"/>
    <x v="7"/>
    <n v="557"/>
    <n v="5"/>
    <s v="No"/>
    <s v="No"/>
    <x v="0"/>
    <x v="1"/>
  </r>
  <r>
    <n v="43"/>
    <x v="0"/>
    <n v="2"/>
    <n v="3"/>
    <n v="154"/>
    <n v="134"/>
    <n v="114.9253731"/>
    <x v="3"/>
    <s v="Mohali"/>
    <x v="0"/>
    <s v="Bilateral"/>
    <x v="7"/>
    <n v="289"/>
    <n v="3"/>
    <s v="Yes"/>
    <s v="Yes"/>
    <x v="0"/>
    <x v="0"/>
  </r>
  <r>
    <n v="44"/>
    <x v="1"/>
    <n v="1"/>
    <n v="4"/>
    <n v="167"/>
    <n v="267"/>
    <n v="62.546816479999997"/>
    <x v="4"/>
    <s v="Vizag"/>
    <x v="0"/>
    <s v="Bilateral"/>
    <x v="7"/>
    <n v="455"/>
    <n v="10"/>
    <s v="No"/>
    <s v="Yes"/>
    <x v="0"/>
    <x v="1"/>
  </r>
  <r>
    <n v="45"/>
    <x v="1"/>
    <n v="2"/>
    <n v="4"/>
    <n v="235"/>
    <n v="340"/>
    <n v="69.117647059999996"/>
    <x v="4"/>
    <s v="Mumbai"/>
    <x v="0"/>
    <s v="Bilateral"/>
    <x v="7"/>
    <n v="631"/>
    <n v="10"/>
    <s v="No"/>
    <s v="Yes"/>
    <x v="0"/>
    <x v="1"/>
  </r>
  <r>
    <n v="46"/>
    <x v="0"/>
    <n v="2"/>
    <n v="3"/>
    <n v="122"/>
    <n v="105"/>
    <n v="116.19047620000001"/>
    <x v="4"/>
    <s v="Pune"/>
    <x v="0"/>
    <s v="Bilateral"/>
    <x v="8"/>
    <n v="356"/>
    <n v="7"/>
    <s v="No"/>
    <s v="No"/>
    <x v="0"/>
    <x v="1"/>
  </r>
  <r>
    <n v="47"/>
    <x v="1"/>
    <n v="1"/>
    <n v="4"/>
    <n v="204"/>
    <n v="246"/>
    <n v="82.926829269999999"/>
    <x v="1"/>
    <s v="Hyderabad"/>
    <x v="0"/>
    <s v="Bilateral"/>
    <x v="8"/>
    <n v="687"/>
    <n v="6"/>
    <s v="No"/>
    <s v="Yes"/>
    <x v="0"/>
    <x v="1"/>
  </r>
  <r>
    <n v="48"/>
    <x v="0"/>
    <n v="2"/>
    <n v="3"/>
    <n v="111"/>
    <n v="115"/>
    <n v="96.52173913"/>
    <x v="5"/>
    <s v="Kingston"/>
    <x v="5"/>
    <s v="Bilateral"/>
    <x v="8"/>
    <n v="206"/>
    <n v="2"/>
    <s v="Yes"/>
    <s v="Yes"/>
    <x v="0"/>
    <x v="1"/>
  </r>
  <r>
    <n v="49"/>
    <x v="1"/>
    <n v="3"/>
    <n v="4"/>
    <n v="103"/>
    <n v="136"/>
    <n v="75.735294120000006"/>
    <x v="0"/>
    <s v="Galle"/>
    <x v="4"/>
    <s v="Bilateral"/>
    <x v="8"/>
    <n v="240"/>
    <n v="3"/>
    <s v="Yes"/>
    <s v="No"/>
    <x v="0"/>
    <x v="1"/>
  </r>
  <r>
    <n v="50"/>
    <x v="0"/>
    <n v="1"/>
    <n v="3"/>
    <n v="131"/>
    <n v="96"/>
    <n v="136.45833329999999"/>
    <x v="0"/>
    <s v="Colombo"/>
    <x v="4"/>
    <s v="Bilateral"/>
    <x v="8"/>
    <n v="375"/>
    <n v="5"/>
    <s v="No"/>
    <s v="Yes"/>
    <x v="0"/>
    <x v="1"/>
  </r>
  <r>
    <n v="51"/>
    <x v="0"/>
    <n v="2"/>
    <n v="3"/>
    <n v="110"/>
    <n v="116"/>
    <n v="94.827586210000007"/>
    <x v="0"/>
    <s v="Colombo"/>
    <x v="4"/>
    <s v="Bilateral"/>
    <x v="8"/>
    <n v="239"/>
    <n v="4"/>
    <s v="Yes"/>
    <s v="No"/>
    <x v="0"/>
    <x v="1"/>
  </r>
  <r>
    <n v="52"/>
    <x v="0"/>
    <n v="1"/>
    <n v="3"/>
    <n v="121"/>
    <n v="125"/>
    <n v="96.8"/>
    <x v="3"/>
    <s v="Mumbai"/>
    <x v="8"/>
    <s v="Bilateral"/>
    <x v="8"/>
    <n v="280"/>
    <n v="8"/>
    <s v="No"/>
    <s v="No"/>
    <x v="1"/>
    <x v="1"/>
  </r>
  <r>
    <n v="53"/>
    <x v="0"/>
    <n v="1"/>
    <n v="3"/>
    <n v="113"/>
    <n v="106"/>
    <n v="106.6037736"/>
    <x v="3"/>
    <s v="Kanpur"/>
    <x v="8"/>
    <s v="Bilateral"/>
    <x v="8"/>
    <n v="337"/>
    <n v="6"/>
    <s v="No"/>
    <s v="Yes"/>
    <x v="0"/>
    <x v="1"/>
  </r>
  <r>
    <n v="54"/>
    <x v="1"/>
    <n v="3"/>
    <n v="4"/>
    <n v="104"/>
    <n v="119"/>
    <n v="87.394957980000001"/>
    <x v="0"/>
    <s v="Kolkata"/>
    <x v="0"/>
    <s v="Bilateral"/>
    <x v="8"/>
    <n v="352"/>
    <n v="8"/>
    <s v="Yes"/>
    <s v="No"/>
    <x v="2"/>
    <x v="1"/>
  </r>
  <r>
    <n v="55"/>
    <x v="1"/>
    <n v="2"/>
    <n v="4"/>
    <n v="213"/>
    <n v="267"/>
    <n v="79.775280899999998"/>
    <x v="0"/>
    <s v="Nagpur"/>
    <x v="0"/>
    <s v="Bilateral"/>
    <x v="8"/>
    <n v="610"/>
    <n v="6"/>
    <s v="No"/>
    <s v="Yes"/>
    <x v="0"/>
    <x v="1"/>
  </r>
  <r>
    <n v="56"/>
    <x v="1"/>
    <n v="1"/>
    <n v="4"/>
    <n v="243"/>
    <n v="287"/>
    <n v="84.668989550000006"/>
    <x v="0"/>
    <s v="Delhi"/>
    <x v="0"/>
    <s v="Bilateral"/>
    <x v="8"/>
    <n v="536"/>
    <n v="7"/>
    <s v="No"/>
    <s v="Yes"/>
    <x v="2"/>
    <x v="1"/>
  </r>
  <r>
    <n v="57"/>
    <x v="1"/>
    <n v="2"/>
    <n v="4"/>
    <n v="153"/>
    <n v="217"/>
    <n v="70.506912439999994"/>
    <x v="8"/>
    <s v="Centurion"/>
    <x v="7"/>
    <s v="Bilateral"/>
    <x v="9"/>
    <n v="307"/>
    <n v="10"/>
    <s v="No"/>
    <s v="No"/>
    <x v="1"/>
    <x v="1"/>
  </r>
  <r>
    <n v="58"/>
    <x v="0"/>
    <n v="2"/>
    <n v="3"/>
    <n v="112"/>
    <n v="119"/>
    <n v="94.117647059999996"/>
    <x v="8"/>
    <s v="Durban"/>
    <x v="7"/>
    <s v="Bilateral"/>
    <x v="9"/>
    <n v="270"/>
    <n v="4"/>
    <s v="No"/>
    <s v="Yes"/>
    <x v="0"/>
    <x v="1"/>
  </r>
  <r>
    <n v="59"/>
    <x v="0"/>
    <n v="1"/>
    <n v="3"/>
    <n v="160"/>
    <n v="159"/>
    <n v="100.62893080000001"/>
    <x v="8"/>
    <s v="Cape Town"/>
    <x v="7"/>
    <s v="Bilateral"/>
    <x v="9"/>
    <n v="303"/>
    <n v="6"/>
    <s v="Yes"/>
    <s v="Yes"/>
    <x v="0"/>
    <x v="1"/>
  </r>
  <r>
    <n v="60"/>
    <x v="0"/>
    <n v="2"/>
    <n v="3"/>
    <n v="129"/>
    <n v="96"/>
    <n v="134.375"/>
    <x v="8"/>
    <s v="Centurion"/>
    <x v="7"/>
    <s v="Bilateral"/>
    <x v="9"/>
    <n v="206"/>
    <n v="2"/>
    <s v="Yes"/>
    <s v="Yes"/>
    <x v="0"/>
    <x v="1"/>
  </r>
  <r>
    <n v="61"/>
    <x v="1"/>
    <n v="2"/>
    <n v="4"/>
    <n v="149"/>
    <n v="225"/>
    <n v="66.222222220000006"/>
    <x v="4"/>
    <s v="Birmingham"/>
    <x v="2"/>
    <s v="Bilateral"/>
    <x v="9"/>
    <n v="274"/>
    <n v="10"/>
    <s v="No"/>
    <s v="No"/>
    <x v="1"/>
    <x v="1"/>
  </r>
  <r>
    <n v="62"/>
    <x v="1"/>
    <n v="3"/>
    <n v="4"/>
    <n v="103"/>
    <n v="197"/>
    <n v="52.284263959999997"/>
    <x v="4"/>
    <s v="Nottingham"/>
    <x v="2"/>
    <s v="Bilateral"/>
    <x v="9"/>
    <n v="352"/>
    <n v="7"/>
    <s v="No"/>
    <s v="Yes"/>
    <x v="0"/>
    <x v="1"/>
  </r>
  <r>
    <n v="63"/>
    <x v="1"/>
    <n v="1"/>
    <n v="4"/>
    <n v="139"/>
    <n v="230"/>
    <n v="60.434782609999999"/>
    <x v="5"/>
    <s v="Rajkot"/>
    <x v="0"/>
    <s v="Bilateral"/>
    <x v="9"/>
    <n v="649"/>
    <n v="9"/>
    <s v="No"/>
    <s v="No"/>
    <x v="0"/>
    <x v="1"/>
  </r>
  <r>
    <n v="64"/>
    <x v="0"/>
    <n v="2"/>
    <n v="3"/>
    <n v="140"/>
    <n v="107"/>
    <n v="130.84112150000001"/>
    <x v="5"/>
    <s v="Guwahati"/>
    <x v="0"/>
    <s v="Bilateral"/>
    <x v="9"/>
    <n v="326"/>
    <n v="2"/>
    <s v="No"/>
    <s v="Yes"/>
    <x v="0"/>
    <x v="1"/>
  </r>
  <r>
    <n v="65"/>
    <x v="0"/>
    <n v="1"/>
    <n v="3"/>
    <n v="157"/>
    <n v="129"/>
    <n v="121.70542639999999"/>
    <x v="5"/>
    <s v="Vizag"/>
    <x v="0"/>
    <s v="Bilateral"/>
    <x v="9"/>
    <n v="321"/>
    <n v="6"/>
    <s v="Yes"/>
    <s v="Yes"/>
    <x v="3"/>
    <x v="1"/>
  </r>
  <r>
    <n v="66"/>
    <x v="0"/>
    <n v="2"/>
    <n v="3"/>
    <n v="107"/>
    <n v="119"/>
    <n v="89.915966389999994"/>
    <x v="5"/>
    <s v="Pune"/>
    <x v="0"/>
    <s v="Bilateral"/>
    <x v="9"/>
    <n v="240"/>
    <n v="10"/>
    <s v="No"/>
    <s v="No"/>
    <x v="1"/>
    <x v="1"/>
  </r>
  <r>
    <n v="67"/>
    <x v="1"/>
    <n v="2"/>
    <n v="4"/>
    <n v="123"/>
    <n v="257"/>
    <n v="47.859922179999998"/>
    <x v="2"/>
    <s v="Perth"/>
    <x v="3"/>
    <s v="Bilateral"/>
    <x v="9"/>
    <n v="283"/>
    <n v="10"/>
    <s v="No"/>
    <s v="No"/>
    <x v="1"/>
    <x v="1"/>
  </r>
  <r>
    <n v="68"/>
    <x v="0"/>
    <n v="2"/>
    <n v="3"/>
    <n v="104"/>
    <n v="112"/>
    <n v="92.857142859999996"/>
    <x v="2"/>
    <s v="Adelaide"/>
    <x v="3"/>
    <s v="Bilateral"/>
    <x v="10"/>
    <n v="299"/>
    <n v="4"/>
    <s v="No"/>
    <s v="Yes"/>
    <x v="0"/>
    <x v="1"/>
  </r>
  <r>
    <n v="69"/>
    <x v="0"/>
    <n v="1"/>
    <n v="3"/>
    <n v="116"/>
    <n v="120"/>
    <n v="96.666666669999998"/>
    <x v="2"/>
    <s v="Nagpur"/>
    <x v="0"/>
    <s v="Bilateral"/>
    <x v="10"/>
    <n v="250"/>
    <n v="10"/>
    <s v="No"/>
    <s v="Yes"/>
    <x v="0"/>
    <x v="1"/>
  </r>
  <r>
    <n v="70"/>
    <x v="0"/>
    <n v="2"/>
    <n v="3"/>
    <n v="123"/>
    <n v="95"/>
    <n v="129.47368420000001"/>
    <x v="2"/>
    <s v="Ranchi"/>
    <x v="0"/>
    <s v="Bilateral"/>
    <x v="10"/>
    <n v="313"/>
    <n v="5"/>
    <s v="No"/>
    <s v="No"/>
    <x v="1"/>
    <x v="1"/>
  </r>
  <r>
    <n v="71"/>
    <x v="2"/>
    <n v="1"/>
    <s v="Open"/>
    <n v="100"/>
    <n v="58"/>
    <n v="172.41379309999999"/>
    <x v="12"/>
    <s v="Kolkata"/>
    <x v="0"/>
    <s v="IPL"/>
    <x v="10"/>
    <n v="213"/>
    <n v="4"/>
    <s v="No"/>
    <s v="Yes"/>
    <x v="0"/>
    <x v="1"/>
  </r>
  <r>
    <n v="72"/>
    <x v="0"/>
    <n v="1"/>
    <n v="3"/>
    <n v="120"/>
    <n v="125"/>
    <n v="96"/>
    <x v="5"/>
    <s v="Port Of Spain"/>
    <x v="5"/>
    <s v="Bilateral"/>
    <x v="10"/>
    <n v="279"/>
    <n v="7"/>
    <s v="No"/>
    <s v="Yes"/>
    <x v="0"/>
    <x v="1"/>
  </r>
  <r>
    <n v="73"/>
    <x v="0"/>
    <n v="2"/>
    <n v="3"/>
    <n v="114"/>
    <n v="99"/>
    <n v="115.15151520000001"/>
    <x v="5"/>
    <s v="Port Of Spain"/>
    <x v="5"/>
    <s v="Bilateral"/>
    <x v="10"/>
    <n v="256"/>
    <n v="4"/>
    <s v="Yes"/>
    <s v="Yes"/>
    <x v="0"/>
    <x v="1"/>
  </r>
  <r>
    <n v="74"/>
    <x v="1"/>
    <n v="1"/>
    <n v="4"/>
    <n v="254"/>
    <n v="336"/>
    <n v="75.595238100000003"/>
    <x v="8"/>
    <s v="Pune"/>
    <x v="0"/>
    <s v="Bilateral"/>
    <x v="10"/>
    <n v="601"/>
    <n v="5"/>
    <s v="Yes"/>
    <s v="Yes"/>
    <x v="0"/>
    <x v="1"/>
  </r>
  <r>
    <n v="75"/>
    <x v="1"/>
    <n v="2"/>
    <n v="4"/>
    <n v="136"/>
    <n v="194"/>
    <n v="70.103092779999997"/>
    <x v="1"/>
    <s v="Kolkata"/>
    <x v="0"/>
    <s v="Bilateral"/>
    <x v="10"/>
    <n v="347"/>
    <n v="9"/>
    <s v="No"/>
    <s v="No"/>
    <x v="0"/>
    <x v="1"/>
  </r>
  <r>
    <n v="76"/>
    <x v="3"/>
    <n v="1"/>
    <s v="Open"/>
    <n v="122"/>
    <n v="61"/>
    <n v="200"/>
    <x v="13"/>
    <s v="Dubai"/>
    <x v="9"/>
    <s v="Asia Cup"/>
    <x v="11"/>
    <n v="212"/>
    <n v="2"/>
    <s v="Yes"/>
    <s v="Yes"/>
    <x v="0"/>
    <x v="0"/>
  </r>
  <r>
    <n v="77"/>
    <x v="0"/>
    <n v="1"/>
    <n v="3"/>
    <n v="113"/>
    <n v="91"/>
    <n v="124.17582419999999"/>
    <x v="1"/>
    <s v="Chattogram"/>
    <x v="1"/>
    <s v="Bilateral"/>
    <x v="11"/>
    <n v="409"/>
    <n v="8"/>
    <s v="No"/>
    <s v="No"/>
    <x v="0"/>
    <x v="0"/>
  </r>
  <r>
    <n v="78"/>
    <x v="0"/>
    <n v="1"/>
    <n v="3"/>
    <n v="113"/>
    <n v="87"/>
    <n v="129.88505749999999"/>
    <x v="0"/>
    <s v="Guwahati"/>
    <x v="0"/>
    <s v="Bilateral"/>
    <x v="12"/>
    <n v="373"/>
    <n v="7"/>
    <s v="No"/>
    <s v="Yes"/>
    <x v="0"/>
    <x v="0"/>
  </r>
  <r>
    <n v="79"/>
    <x v="0"/>
    <n v="1"/>
    <n v="3"/>
    <n v="166"/>
    <n v="110"/>
    <n v="150.9090909"/>
    <x v="0"/>
    <s v="Thiruvananthapuram"/>
    <x v="0"/>
    <s v="Bilateral"/>
    <x v="12"/>
    <n v="390"/>
    <n v="5"/>
    <s v="Yes"/>
    <s v="Yes"/>
    <x v="0"/>
    <x v="0"/>
  </r>
  <r>
    <n v="80"/>
    <x v="1"/>
    <n v="2"/>
    <n v="4"/>
    <n v="186"/>
    <n v="364"/>
    <n v="51.098901099999999"/>
    <x v="2"/>
    <s v="Ahmedabad"/>
    <x v="0"/>
    <s v="Bilateral"/>
    <x v="12"/>
    <n v="571"/>
    <n v="9"/>
    <s v="No"/>
    <s v="Yes"/>
    <x v="2"/>
    <x v="0"/>
  </r>
  <r>
    <n v="81"/>
    <x v="2"/>
    <n v="2"/>
    <s v="Open"/>
    <n v="100"/>
    <n v="63"/>
    <n v="158.7301587"/>
    <x v="14"/>
    <s v="Hyderabad"/>
    <x v="0"/>
    <s v="IPL"/>
    <x v="12"/>
    <n v="187"/>
    <n v="2"/>
    <s v="No"/>
    <s v="Yes"/>
    <x v="0"/>
    <x v="0"/>
  </r>
  <r>
    <n v="82"/>
    <x v="2"/>
    <n v="1"/>
    <s v="Open"/>
    <n v="101"/>
    <n v="61"/>
    <n v="165.57377049999999"/>
    <x v="15"/>
    <s v="Bengaluru"/>
    <x v="0"/>
    <s v="IPL"/>
    <x v="12"/>
    <n v="197"/>
    <n v="5"/>
    <s v="Yes"/>
    <s v="No"/>
    <x v="1"/>
    <x v="0"/>
  </r>
  <r>
    <n v="83"/>
    <x v="1"/>
    <n v="1"/>
    <n v="4"/>
    <n v="121"/>
    <n v="206"/>
    <n v="58.737864080000001"/>
    <x v="5"/>
    <s v="Port Of Spain"/>
    <x v="5"/>
    <s v="Bilateral"/>
    <x v="12"/>
    <n v="438"/>
    <n v="10"/>
    <s v="No"/>
    <s v="No"/>
    <x v="2"/>
    <x v="0"/>
  </r>
  <r>
    <n v="84"/>
    <x v="0"/>
    <n v="1"/>
    <n v="3"/>
    <n v="122"/>
    <n v="94"/>
    <n v="129.78723400000001"/>
    <x v="6"/>
    <s v="Colombo"/>
    <x v="4"/>
    <s v="Asia Cup"/>
    <x v="12"/>
    <n v="356"/>
    <n v="2"/>
    <s v="Yes"/>
    <s v="Yes"/>
    <x v="0"/>
    <x v="0"/>
  </r>
  <r>
    <n v="85"/>
    <x v="0"/>
    <n v="2"/>
    <n v="3"/>
    <n v="103"/>
    <n v="97"/>
    <n v="106.18556700000001"/>
    <x v="1"/>
    <s v="Pune"/>
    <x v="0"/>
    <s v="World Cup"/>
    <x v="12"/>
    <n v="261"/>
    <n v="3"/>
    <s v="Yes"/>
    <s v="Yes"/>
    <x v="0"/>
    <x v="0"/>
  </r>
  <r>
    <n v="86"/>
    <x v="0"/>
    <n v="1"/>
    <n v="3"/>
    <n v="101"/>
    <n v="121"/>
    <n v="83.471074380000005"/>
    <x v="8"/>
    <s v="Kolkata"/>
    <x v="0"/>
    <s v="World Cup"/>
    <x v="12"/>
    <n v="326"/>
    <n v="5"/>
    <s v="Yes"/>
    <s v="Yes"/>
    <x v="0"/>
    <x v="0"/>
  </r>
  <r>
    <n v="87"/>
    <x v="0"/>
    <n v="1"/>
    <n v="3"/>
    <n v="117"/>
    <n v="112"/>
    <n v="104.4642857"/>
    <x v="3"/>
    <s v="Mumbai"/>
    <x v="0"/>
    <s v="World Cup"/>
    <x v="12"/>
    <n v="397"/>
    <n v="4"/>
    <s v="No"/>
    <s v="No"/>
    <x v="0"/>
    <x v="0"/>
  </r>
  <r>
    <n v="88"/>
    <x v="2"/>
    <n v="1"/>
    <s v="Open"/>
    <n v="113"/>
    <n v="72"/>
    <n v="156.94444440000001"/>
    <x v="16"/>
    <s v="Jaipur"/>
    <x v="0"/>
    <s v="IPL"/>
    <x v="13"/>
    <n v="183"/>
    <n v="3"/>
    <s v="Yes"/>
    <s v="No"/>
    <x v="1"/>
    <x v="0"/>
  </r>
  <r>
    <n v="89"/>
    <x v="1"/>
    <n v="3"/>
    <n v="4"/>
    <n v="100"/>
    <n v="143"/>
    <n v="69.930069930000002"/>
    <x v="2"/>
    <s v="Perth"/>
    <x v="3"/>
    <s v="Bilateral"/>
    <x v="13"/>
    <n v="487"/>
    <n v="6"/>
    <s v="Yes"/>
    <s v="No"/>
    <x v="0"/>
    <x v="0"/>
  </r>
  <r>
    <n v="90"/>
    <x v="0"/>
    <n v="2"/>
    <n v="3"/>
    <n v="100"/>
    <n v="111"/>
    <n v="90.090090090000004"/>
    <x v="6"/>
    <s v="Dubai"/>
    <x v="9"/>
    <s v="Champions Trophy"/>
    <x v="14"/>
    <n v="244"/>
    <n v="4"/>
    <s v="Yes"/>
    <s v="Yes"/>
    <x v="0"/>
    <x v="0"/>
  </r>
  <r>
    <n v="91"/>
    <x v="0"/>
    <n v="1"/>
    <n v="3"/>
    <n v="135"/>
    <n v="120"/>
    <n v="112.5"/>
    <x v="8"/>
    <s v="Ranchi"/>
    <x v="0"/>
    <s v="Bilateral"/>
    <x v="14"/>
    <n v="349"/>
    <n v="9"/>
    <s v="No"/>
    <s v="Yes"/>
    <x v="0"/>
    <x v="0"/>
  </r>
  <r>
    <n v="92"/>
    <x v="0"/>
    <n v="1"/>
    <n v="3"/>
    <n v="102"/>
    <n v="93"/>
    <n v="109.67741940000001"/>
    <x v="8"/>
    <s v="Raipur"/>
    <x v="0"/>
    <s v="Bilateral"/>
    <x v="14"/>
    <n v="358"/>
    <n v="5"/>
    <s v="No"/>
    <s v="No"/>
    <x v="1"/>
    <x v="0"/>
  </r>
  <r>
    <n v="93"/>
    <x v="0"/>
    <n v="2"/>
    <n v="3"/>
    <n v="124"/>
    <n v="108"/>
    <n v="114.81481479999999"/>
    <x v="3"/>
    <s v="Indore"/>
    <x v="0"/>
    <s v="Bilateral"/>
    <x v="15"/>
    <n v="296"/>
    <n v="10"/>
    <s v="No"/>
    <s v="No"/>
    <x v="1"/>
    <x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4">
  <r>
    <n v="1"/>
    <s v="ODI"/>
    <n v="2"/>
    <n v="4"/>
    <n v="107"/>
    <n v="114"/>
    <n v="93.85964912"/>
    <s v="Sri Lanka"/>
    <s v="Kolkata"/>
    <s v="India"/>
    <s v="Bilateral"/>
    <x v="0"/>
    <n v="316"/>
    <n v="3"/>
    <s v="No"/>
    <s v="No"/>
    <s v="Yes"/>
    <s v="No"/>
  </r>
  <r>
    <n v="2"/>
    <s v="ODI"/>
    <n v="2"/>
    <n v="3"/>
    <n v="102"/>
    <n v="95"/>
    <n v="107.36842110000001"/>
    <s v="Bangladesh"/>
    <s v="Mirpur"/>
    <s v="Bangladesh"/>
    <s v="Tri-Series"/>
    <x v="1"/>
    <n v="249"/>
    <n v="4"/>
    <s v="Yes"/>
    <s v="Yes"/>
    <s v="Yes"/>
    <s v="No"/>
  </r>
  <r>
    <n v="3"/>
    <s v="ODI"/>
    <n v="2"/>
    <n v="3"/>
    <n v="118"/>
    <n v="121"/>
    <n v="97.520661160000003"/>
    <s v="Australia"/>
    <s v="Vizag"/>
    <s v="India"/>
    <s v="Bilateral"/>
    <x v="2"/>
    <n v="292"/>
    <n v="5"/>
    <s v="No"/>
    <s v="Yes"/>
    <s v="Yes"/>
    <s v="No"/>
  </r>
  <r>
    <n v="4"/>
    <s v="ODI"/>
    <n v="1"/>
    <n v="3"/>
    <n v="105"/>
    <n v="104"/>
    <n v="100.9615385"/>
    <s v="New Zealand"/>
    <s v="Guwahati"/>
    <s v="India"/>
    <s v="Bilateral"/>
    <x v="3"/>
    <n v="276"/>
    <n v="10"/>
    <s v="No"/>
    <s v="Yes"/>
    <s v="Yes"/>
    <s v="No"/>
  </r>
  <r>
    <n v="5"/>
    <s v="ODI"/>
    <n v="1"/>
    <n v="4"/>
    <n v="100"/>
    <n v="83"/>
    <n v="120.4819277"/>
    <s v="Bangladesh"/>
    <s v="Mirpur"/>
    <s v="Bangladesh"/>
    <s v="World Cup"/>
    <x v="4"/>
    <n v="370"/>
    <n v="4"/>
    <s v="Yes"/>
    <s v="No"/>
    <s v="Yes"/>
    <s v="No"/>
  </r>
  <r>
    <n v="6"/>
    <s v="ODI"/>
    <n v="1"/>
    <n v="4"/>
    <n v="107"/>
    <n v="93"/>
    <n v="115.05376339999999"/>
    <s v="England"/>
    <s v="Cardiff"/>
    <s v="England"/>
    <s v="Bilateral"/>
    <x v="5"/>
    <n v="304"/>
    <n v="6"/>
    <s v="No"/>
    <s v="No"/>
    <s v="No"/>
    <s v="No"/>
  </r>
  <r>
    <n v="7"/>
    <s v="ODI"/>
    <n v="2"/>
    <n v="4"/>
    <n v="112"/>
    <n v="98"/>
    <n v="114.2857143"/>
    <s v="England"/>
    <s v="Delhi"/>
    <s v="India"/>
    <s v="Bilateral"/>
    <x v="6"/>
    <n v="238"/>
    <n v="2"/>
    <s v="Yes"/>
    <s v="Yes"/>
    <s v="Yes"/>
    <s v="No"/>
  </r>
  <r>
    <n v="8"/>
    <s v="ODI"/>
    <n v="2"/>
    <n v="4"/>
    <n v="117"/>
    <n v="123"/>
    <n v="95.12195122"/>
    <s v="West Indies"/>
    <s v="Vizag"/>
    <s v="India"/>
    <s v="Bilateral"/>
    <x v="7"/>
    <n v="270"/>
    <n v="5"/>
    <s v="No"/>
    <s v="Yes"/>
    <s v="Yes"/>
    <s v="No"/>
  </r>
  <r>
    <n v="9"/>
    <s v="Test"/>
    <n v="2"/>
    <n v="6"/>
    <n v="116"/>
    <n v="213"/>
    <n v="54.460093899999997"/>
    <s v="Australia"/>
    <s v="Adelaide"/>
    <s v="Australia"/>
    <s v="Bilateral"/>
    <x v="8"/>
    <n v="272"/>
    <n v="10"/>
    <s v="No"/>
    <s v="No"/>
    <s v="No"/>
    <s v="No"/>
  </r>
  <r>
    <n v="10"/>
    <s v="ODI"/>
    <n v="2"/>
    <n v="4"/>
    <n v="133"/>
    <n v="86"/>
    <n v="154.65116280000001"/>
    <s v="Sri Lanka"/>
    <s v="Hobart"/>
    <s v="Australia"/>
    <s v="Tri-Series"/>
    <x v="9"/>
    <n v="320"/>
    <n v="4"/>
    <s v="Yes"/>
    <s v="Yes"/>
    <s v="Yes"/>
    <s v="No"/>
  </r>
  <r>
    <n v="11"/>
    <s v="ODI"/>
    <n v="1"/>
    <n v="3"/>
    <n v="108"/>
    <n v="120"/>
    <n v="90"/>
    <s v="Sri Lanka"/>
    <s v="Mirpur"/>
    <s v="Bangladesh"/>
    <s v="Asia Cup"/>
    <x v="10"/>
    <n v="304"/>
    <n v="3"/>
    <s v="No"/>
    <s v="Yes"/>
    <s v="Yes"/>
    <s v="No"/>
  </r>
  <r>
    <n v="12"/>
    <s v="ODI"/>
    <n v="2"/>
    <n v="3"/>
    <n v="183"/>
    <n v="148"/>
    <n v="123.6486486"/>
    <s v="Pakistan"/>
    <s v="Mirpur"/>
    <s v="Bangladesh"/>
    <s v="Asia Cup"/>
    <x v="11"/>
    <n v="330"/>
    <n v="4"/>
    <s v="No"/>
    <s v="Yes"/>
    <s v="Yes"/>
    <s v="No"/>
  </r>
  <r>
    <n v="13"/>
    <s v="ODI"/>
    <n v="1"/>
    <n v="3"/>
    <n v="106"/>
    <n v="113"/>
    <n v="93.805309730000005"/>
    <s v="Sri Lanka"/>
    <s v="Hambantota"/>
    <s v="Sri Lanka"/>
    <s v="Bilateral"/>
    <x v="12"/>
    <n v="314"/>
    <n v="6"/>
    <s v="No"/>
    <s v="Yes"/>
    <s v="Yes"/>
    <s v="No"/>
  </r>
  <r>
    <n v="14"/>
    <s v="ODI"/>
    <n v="2"/>
    <n v="3"/>
    <n v="128"/>
    <n v="119"/>
    <n v="107.5630252"/>
    <s v="Sri Lanka"/>
    <s v="Colombo"/>
    <s v="Sri Lanka"/>
    <s v="Bilateral"/>
    <x v="13"/>
    <n v="255"/>
    <n v="4"/>
    <s v="Yes"/>
    <s v="Yes"/>
    <s v="Yes"/>
    <s v="No"/>
  </r>
  <r>
    <n v="15"/>
    <s v="Test"/>
    <n v="2"/>
    <n v="5"/>
    <n v="103"/>
    <n v="193"/>
    <n v="53.367875650000002"/>
    <s v="New Zealand"/>
    <s v="Bengaluru"/>
    <s v="India"/>
    <s v="Bilateral"/>
    <x v="14"/>
    <n v="353"/>
    <n v="10"/>
    <s v="No"/>
    <s v="Yes"/>
    <s v="Yes"/>
    <s v="No"/>
  </r>
  <r>
    <n v="16"/>
    <s v="Test"/>
    <n v="2"/>
    <n v="5"/>
    <n v="103"/>
    <n v="295"/>
    <n v="34.915254240000003"/>
    <s v="England"/>
    <s v="Nagpur"/>
    <s v="India"/>
    <s v="Bilateral"/>
    <x v="15"/>
    <n v="326"/>
    <n v="9"/>
    <s v="No"/>
    <s v="No"/>
    <s v="Drawn"/>
    <s v="No"/>
  </r>
  <r>
    <n v="17"/>
    <s v="Test"/>
    <n v="2"/>
    <n v="5"/>
    <n v="107"/>
    <n v="206"/>
    <n v="51.941747569999997"/>
    <s v="Australia"/>
    <s v="Chennai"/>
    <s v="India"/>
    <s v="Bilateral"/>
    <x v="16"/>
    <n v="572"/>
    <n v="10"/>
    <s v="No"/>
    <s v="No"/>
    <s v="Yes"/>
    <s v="No"/>
  </r>
  <r>
    <n v="18"/>
    <s v="ODI"/>
    <n v="1"/>
    <n v="3"/>
    <n v="102"/>
    <n v="83"/>
    <n v="122.89156629999999"/>
    <s v="West Indies"/>
    <s v="Port Of Spain"/>
    <s v="West Indies"/>
    <s v="Tri-Series"/>
    <x v="17"/>
    <n v="311"/>
    <n v="7"/>
    <s v="No"/>
    <s v="Yes"/>
    <s v="Yes"/>
    <s v="Yes"/>
  </r>
  <r>
    <n v="19"/>
    <s v="ODI"/>
    <n v="2"/>
    <n v="3"/>
    <n v="115"/>
    <n v="108"/>
    <n v="106.4814815"/>
    <s v="Zimbabwe"/>
    <s v="Harare"/>
    <s v="Zimbabwe"/>
    <s v="Bilateral"/>
    <x v="18"/>
    <n v="230"/>
    <n v="4"/>
    <s v="No"/>
    <s v="Yes"/>
    <s v="Yes"/>
    <s v="Yes"/>
  </r>
  <r>
    <n v="20"/>
    <s v="ODI"/>
    <n v="2"/>
    <n v="3"/>
    <n v="100"/>
    <n v="52"/>
    <n v="192.30769230000001"/>
    <s v="Australia"/>
    <s v="Jaipur"/>
    <s v="India"/>
    <s v="Bilateral"/>
    <x v="19"/>
    <n v="362"/>
    <n v="1"/>
    <s v="Yes"/>
    <s v="No"/>
    <s v="Yes"/>
    <s v="No"/>
  </r>
  <r>
    <n v="21"/>
    <s v="ODI"/>
    <n v="2"/>
    <n v="3"/>
    <n v="115"/>
    <n v="66"/>
    <n v="174.24242419999999"/>
    <s v="Australia"/>
    <s v="Nagpur"/>
    <s v="India"/>
    <s v="Bilateral"/>
    <x v="20"/>
    <n v="351"/>
    <n v="4"/>
    <s v="Yes"/>
    <s v="Yes"/>
    <s v="Yes"/>
    <s v="No"/>
  </r>
  <r>
    <n v="22"/>
    <s v="Test"/>
    <n v="1"/>
    <n v="4"/>
    <n v="119"/>
    <n v="181"/>
    <n v="65.745856349999997"/>
    <s v="South Africa"/>
    <s v="Johannesburg"/>
    <s v="South Africa"/>
    <s v="Bilateral"/>
    <x v="21"/>
    <n v="280"/>
    <n v="10"/>
    <s v="No"/>
    <s v="Yes"/>
    <s v="Yes"/>
    <s v="No"/>
  </r>
  <r>
    <n v="23"/>
    <s v="ODI"/>
    <n v="2"/>
    <n v="3"/>
    <n v="123"/>
    <n v="111"/>
    <n v="110.8108108"/>
    <s v="New Zealand"/>
    <s v="Napier"/>
    <s v="New Zealand"/>
    <s v="Bilateral"/>
    <x v="22"/>
    <n v="268"/>
    <n v="10"/>
    <s v="No"/>
    <s v="No"/>
    <s v="No"/>
    <s v="No"/>
  </r>
  <r>
    <n v="24"/>
    <s v="Test"/>
    <n v="4"/>
    <n v="4"/>
    <n v="105"/>
    <n v="135"/>
    <n v="77.777777779999994"/>
    <s v="New Zealand"/>
    <s v="Wellington"/>
    <s v="New Zealand"/>
    <s v="Bilateral"/>
    <x v="23"/>
    <n v="166"/>
    <n v="3"/>
    <s v="Yes"/>
    <s v="No"/>
    <s v="Drawn"/>
    <s v="No"/>
  </r>
  <r>
    <n v="25"/>
    <s v="ODI"/>
    <n v="2"/>
    <n v="3"/>
    <n v="136"/>
    <n v="122"/>
    <n v="111.47540979999999"/>
    <s v="Bangladesh"/>
    <s v="Fatullah"/>
    <s v="Bangladesh"/>
    <s v="Asia Cup"/>
    <x v="24"/>
    <n v="280"/>
    <n v="4"/>
    <s v="No"/>
    <s v="Yes"/>
    <s v="Yes"/>
    <s v="Yes"/>
  </r>
  <r>
    <n v="26"/>
    <s v="ODI"/>
    <n v="1"/>
    <n v="3"/>
    <n v="127"/>
    <n v="114"/>
    <n v="111.4035088"/>
    <s v="West Indies"/>
    <s v="Dharamshala"/>
    <s v="India"/>
    <s v="Bilateral"/>
    <x v="25"/>
    <n v="330"/>
    <n v="6"/>
    <s v="No"/>
    <s v="Yes"/>
    <s v="Yes"/>
    <s v="No"/>
  </r>
  <r>
    <n v="27"/>
    <s v="ODI"/>
    <n v="2"/>
    <n v="4"/>
    <n v="139"/>
    <n v="126"/>
    <n v="110.31746029999999"/>
    <s v="Sri Lanka"/>
    <s v="Ranchi"/>
    <s v="India"/>
    <s v="Bilateral"/>
    <x v="26"/>
    <n v="288"/>
    <n v="3"/>
    <s v="Yes"/>
    <s v="No"/>
    <s v="Yes"/>
    <s v="Yes"/>
  </r>
  <r>
    <n v="28"/>
    <s v="Test"/>
    <n v="2"/>
    <n v="4"/>
    <n v="115"/>
    <n v="184"/>
    <n v="62.5"/>
    <s v="Australia"/>
    <s v="Adelaide"/>
    <s v="Australia"/>
    <s v="Bilateral"/>
    <x v="27"/>
    <n v="444"/>
    <n v="10"/>
    <s v="No"/>
    <s v="No"/>
    <s v="No"/>
    <s v="Yes"/>
  </r>
  <r>
    <n v="29"/>
    <s v="Test"/>
    <n v="4"/>
    <n v="4"/>
    <n v="141"/>
    <n v="175"/>
    <n v="80.571428569999995"/>
    <s v="Australia"/>
    <s v="Adelaide"/>
    <s v="Australia"/>
    <s v="Bilateral"/>
    <x v="27"/>
    <n v="315"/>
    <n v="10"/>
    <s v="No"/>
    <s v="No"/>
    <s v="No"/>
    <s v="Yes"/>
  </r>
  <r>
    <n v="30"/>
    <s v="Test"/>
    <n v="2"/>
    <n v="4"/>
    <n v="169"/>
    <n v="272"/>
    <n v="62.132352939999997"/>
    <s v="Australia"/>
    <s v="Melbourne"/>
    <s v="Australia"/>
    <s v="Bilateral"/>
    <x v="28"/>
    <n v="465"/>
    <n v="10"/>
    <s v="No"/>
    <s v="No"/>
    <s v="Drawn"/>
    <s v="No"/>
  </r>
  <r>
    <n v="31"/>
    <s v="Test"/>
    <n v="2"/>
    <n v="4"/>
    <n v="147"/>
    <n v="230"/>
    <n v="63.913043479999999"/>
    <s v="Australia"/>
    <s v="Sydney"/>
    <s v="Australia"/>
    <s v="Bilateral"/>
    <x v="29"/>
    <n v="475"/>
    <n v="10"/>
    <s v="No"/>
    <s v="No"/>
    <s v="Drawn"/>
    <s v="Yes"/>
  </r>
  <r>
    <n v="32"/>
    <s v="ODI"/>
    <n v="1"/>
    <n v="3"/>
    <n v="107"/>
    <n v="126"/>
    <n v="84.920634919999998"/>
    <s v="Pakistan"/>
    <s v="Adelaide"/>
    <s v="Australia"/>
    <s v="World Cup"/>
    <x v="30"/>
    <n v="300"/>
    <n v="7"/>
    <s v="No"/>
    <s v="Yes"/>
    <s v="Yes"/>
    <s v="No"/>
  </r>
  <r>
    <n v="33"/>
    <s v="Test"/>
    <n v="2"/>
    <n v="4"/>
    <n v="103"/>
    <n v="191"/>
    <n v="53.926701569999999"/>
    <s v="Sri Lanka"/>
    <s v="Galle"/>
    <s v="Sri Lanka"/>
    <s v="Bilateral"/>
    <x v="31"/>
    <n v="375"/>
    <n v="10"/>
    <s v="No"/>
    <s v="No"/>
    <s v="No"/>
    <s v="Yes"/>
  </r>
  <r>
    <n v="34"/>
    <s v="ODI"/>
    <n v="1"/>
    <n v="3"/>
    <n v="138"/>
    <n v="140"/>
    <n v="98.571428569999995"/>
    <s v="South Africa"/>
    <s v="Chennai"/>
    <s v="India"/>
    <s v="Bilateral"/>
    <x v="32"/>
    <n v="299"/>
    <n v="8"/>
    <s v="No"/>
    <s v="Yes"/>
    <s v="Yes"/>
    <s v="No"/>
  </r>
  <r>
    <n v="35"/>
    <s v="ODI"/>
    <n v="1"/>
    <n v="3"/>
    <n v="117"/>
    <n v="117"/>
    <n v="100"/>
    <s v="Australia"/>
    <s v="Melbourne"/>
    <s v="Australia"/>
    <s v="Bilateral"/>
    <x v="33"/>
    <n v="295"/>
    <n v="6"/>
    <s v="No"/>
    <s v="No"/>
    <s v="No"/>
    <s v="No"/>
  </r>
  <r>
    <n v="36"/>
    <s v="ODI"/>
    <n v="2"/>
    <n v="3"/>
    <n v="106"/>
    <n v="92"/>
    <n v="115.2173913"/>
    <s v="Australia"/>
    <s v="Canberra"/>
    <s v="Australia"/>
    <s v="Bilateral"/>
    <x v="34"/>
    <n v="323"/>
    <n v="10"/>
    <s v="No"/>
    <s v="No"/>
    <s v="No"/>
    <s v="No"/>
  </r>
  <r>
    <n v="37"/>
    <s v="T20"/>
    <n v="1"/>
    <s v="Open"/>
    <n v="100"/>
    <n v="63"/>
    <n v="158.7301587"/>
    <s v="Gujarat Lions"/>
    <s v="Rajkot"/>
    <s v="India"/>
    <s v="IPL"/>
    <x v="35"/>
    <n v="180"/>
    <n v="2"/>
    <s v="Yes"/>
    <s v="Yes"/>
    <s v="No"/>
    <s v="Yes"/>
  </r>
  <r>
    <n v="38"/>
    <s v="T20"/>
    <n v="2"/>
    <s v="Open"/>
    <n v="108"/>
    <n v="58"/>
    <n v="186.20689659999999"/>
    <s v="Rising Pune Supergiants"/>
    <s v="Bengaluru"/>
    <s v="India"/>
    <s v="IPL"/>
    <x v="36"/>
    <n v="195"/>
    <n v="3"/>
    <s v="Yes"/>
    <s v="Yes"/>
    <s v="Yes"/>
    <s v="Yes"/>
  </r>
  <r>
    <n v="39"/>
    <s v="T20"/>
    <n v="1"/>
    <s v="Open"/>
    <n v="109"/>
    <n v="55"/>
    <n v="198.18181820000001"/>
    <s v="Gujarat Lions"/>
    <s v="Bengaluru"/>
    <s v="India"/>
    <s v="IPL"/>
    <x v="37"/>
    <n v="248"/>
    <n v="3"/>
    <s v="No"/>
    <s v="No"/>
    <s v="Yes"/>
    <s v="Yes"/>
  </r>
  <r>
    <n v="40"/>
    <s v="T20"/>
    <n v="1"/>
    <s v="Open"/>
    <n v="113"/>
    <n v="50"/>
    <n v="226"/>
    <s v="Kings XI Punjab"/>
    <s v="Bengaluru"/>
    <s v="India"/>
    <s v="IPL"/>
    <x v="38"/>
    <n v="211"/>
    <n v="3"/>
    <s v="No"/>
    <s v="Yes"/>
    <s v="Yes"/>
    <s v="Yes"/>
  </r>
  <r>
    <n v="41"/>
    <s v="Test"/>
    <n v="1"/>
    <n v="4"/>
    <n v="200"/>
    <n v="283"/>
    <n v="70.671378090000005"/>
    <s v="West Indies"/>
    <s v="North Sound"/>
    <s v="West Indies"/>
    <s v="Bilateral"/>
    <x v="39"/>
    <n v="566"/>
    <n v="8"/>
    <s v="No"/>
    <s v="No"/>
    <s v="Yes"/>
    <s v="Yes"/>
  </r>
  <r>
    <n v="42"/>
    <s v="Test"/>
    <n v="1"/>
    <n v="4"/>
    <n v="211"/>
    <n v="366"/>
    <n v="57.650273220000003"/>
    <s v="New Zealand"/>
    <s v="Indore"/>
    <s v="India"/>
    <s v="Bilateral"/>
    <x v="40"/>
    <n v="557"/>
    <n v="5"/>
    <s v="No"/>
    <s v="No"/>
    <s v="Yes"/>
    <s v="Yes"/>
  </r>
  <r>
    <n v="43"/>
    <s v="ODI"/>
    <n v="2"/>
    <n v="3"/>
    <n v="154"/>
    <n v="134"/>
    <n v="114.9253731"/>
    <s v="New Zealand"/>
    <s v="Mohali"/>
    <s v="India"/>
    <s v="Bilateral"/>
    <x v="41"/>
    <n v="289"/>
    <n v="3"/>
    <s v="Yes"/>
    <s v="Yes"/>
    <s v="Yes"/>
    <s v="No"/>
  </r>
  <r>
    <n v="44"/>
    <s v="Test"/>
    <n v="1"/>
    <n v="4"/>
    <n v="167"/>
    <n v="267"/>
    <n v="62.546816479999997"/>
    <s v="England"/>
    <s v="Vizag"/>
    <s v="India"/>
    <s v="Bilateral"/>
    <x v="42"/>
    <n v="455"/>
    <n v="10"/>
    <s v="No"/>
    <s v="Yes"/>
    <s v="Yes"/>
    <s v="Yes"/>
  </r>
  <r>
    <n v="45"/>
    <s v="Test"/>
    <n v="2"/>
    <n v="4"/>
    <n v="235"/>
    <n v="340"/>
    <n v="69.117647059999996"/>
    <s v="England"/>
    <s v="Mumbai"/>
    <s v="India"/>
    <s v="Bilateral"/>
    <x v="43"/>
    <n v="631"/>
    <n v="10"/>
    <s v="No"/>
    <s v="Yes"/>
    <s v="Yes"/>
    <s v="Yes"/>
  </r>
  <r>
    <n v="46"/>
    <s v="ODI"/>
    <n v="2"/>
    <n v="3"/>
    <n v="122"/>
    <n v="105"/>
    <n v="116.19047620000001"/>
    <s v="England"/>
    <s v="Pune"/>
    <s v="India"/>
    <s v="Bilateral"/>
    <x v="44"/>
    <n v="356"/>
    <n v="7"/>
    <s v="No"/>
    <s v="No"/>
    <s v="Yes"/>
    <s v="Yes"/>
  </r>
  <r>
    <n v="47"/>
    <s v="Test"/>
    <n v="1"/>
    <n v="4"/>
    <n v="204"/>
    <n v="246"/>
    <n v="82.926829269999999"/>
    <s v="Bangladesh"/>
    <s v="Hyderabad"/>
    <s v="India"/>
    <s v="Bilateral"/>
    <x v="45"/>
    <n v="687"/>
    <n v="6"/>
    <s v="No"/>
    <s v="Yes"/>
    <s v="Yes"/>
    <s v="Yes"/>
  </r>
  <r>
    <n v="48"/>
    <s v="ODI"/>
    <n v="2"/>
    <n v="3"/>
    <n v="111"/>
    <n v="115"/>
    <n v="96.52173913"/>
    <s v="West Indies"/>
    <s v="Kingston"/>
    <s v="West Indies"/>
    <s v="Bilateral"/>
    <x v="46"/>
    <n v="206"/>
    <n v="2"/>
    <s v="Yes"/>
    <s v="Yes"/>
    <s v="Yes"/>
    <s v="Yes"/>
  </r>
  <r>
    <n v="49"/>
    <s v="Test"/>
    <n v="3"/>
    <n v="4"/>
    <n v="103"/>
    <n v="136"/>
    <n v="75.735294120000006"/>
    <s v="Sri Lanka"/>
    <s v="Galle"/>
    <s v="Sri Lanka"/>
    <s v="Bilateral"/>
    <x v="47"/>
    <n v="240"/>
    <n v="3"/>
    <s v="Yes"/>
    <s v="No"/>
    <s v="Yes"/>
    <s v="Yes"/>
  </r>
  <r>
    <n v="50"/>
    <s v="ODI"/>
    <n v="1"/>
    <n v="3"/>
    <n v="131"/>
    <n v="96"/>
    <n v="136.45833329999999"/>
    <s v="Sri Lanka"/>
    <s v="Colombo"/>
    <s v="Sri Lanka"/>
    <s v="Bilateral"/>
    <x v="48"/>
    <n v="375"/>
    <n v="5"/>
    <s v="No"/>
    <s v="Yes"/>
    <s v="Yes"/>
    <s v="Yes"/>
  </r>
  <r>
    <n v="51"/>
    <s v="ODI"/>
    <n v="2"/>
    <n v="3"/>
    <n v="110"/>
    <n v="116"/>
    <n v="94.827586210000007"/>
    <s v="Sri Lanka"/>
    <s v="Colombo"/>
    <s v="Sri Lanka"/>
    <s v="Bilateral"/>
    <x v="49"/>
    <n v="239"/>
    <n v="4"/>
    <s v="Yes"/>
    <s v="No"/>
    <s v="Yes"/>
    <s v="Yes"/>
  </r>
  <r>
    <n v="52"/>
    <s v="ODI"/>
    <n v="1"/>
    <n v="3"/>
    <n v="121"/>
    <n v="125"/>
    <n v="96.8"/>
    <s v="New Zealand"/>
    <s v="Mumbai"/>
    <s v="New Zealand"/>
    <s v="Bilateral"/>
    <x v="50"/>
    <n v="280"/>
    <n v="8"/>
    <s v="No"/>
    <s v="No"/>
    <s v="No"/>
    <s v="Yes"/>
  </r>
  <r>
    <n v="53"/>
    <s v="ODI"/>
    <n v="1"/>
    <n v="3"/>
    <n v="113"/>
    <n v="106"/>
    <n v="106.6037736"/>
    <s v="New Zealand"/>
    <s v="Kanpur"/>
    <s v="New Zealand"/>
    <s v="Bilateral"/>
    <x v="51"/>
    <n v="337"/>
    <n v="6"/>
    <s v="No"/>
    <s v="Yes"/>
    <s v="Yes"/>
    <s v="Yes"/>
  </r>
  <r>
    <n v="54"/>
    <s v="Test"/>
    <n v="3"/>
    <n v="4"/>
    <n v="104"/>
    <n v="119"/>
    <n v="87.394957980000001"/>
    <s v="Sri Lanka"/>
    <s v="Kolkata"/>
    <s v="India"/>
    <s v="Bilateral"/>
    <x v="52"/>
    <n v="352"/>
    <n v="8"/>
    <s v="Yes"/>
    <s v="No"/>
    <s v="Drawn"/>
    <s v="Yes"/>
  </r>
  <r>
    <n v="55"/>
    <s v="Test"/>
    <n v="2"/>
    <n v="4"/>
    <n v="213"/>
    <n v="267"/>
    <n v="79.775280899999998"/>
    <s v="Sri Lanka"/>
    <s v="Nagpur"/>
    <s v="India"/>
    <s v="Bilateral"/>
    <x v="53"/>
    <n v="610"/>
    <n v="6"/>
    <s v="No"/>
    <s v="Yes"/>
    <s v="Yes"/>
    <s v="Yes"/>
  </r>
  <r>
    <n v="56"/>
    <s v="Test"/>
    <n v="1"/>
    <n v="4"/>
    <n v="243"/>
    <n v="287"/>
    <n v="84.668989550000006"/>
    <s v="Sri Lanka"/>
    <s v="Delhi"/>
    <s v="India"/>
    <s v="Bilateral"/>
    <x v="54"/>
    <n v="536"/>
    <n v="7"/>
    <s v="No"/>
    <s v="Yes"/>
    <s v="Drawn"/>
    <s v="Yes"/>
  </r>
  <r>
    <n v="57"/>
    <s v="Test"/>
    <n v="2"/>
    <n v="4"/>
    <n v="153"/>
    <n v="217"/>
    <n v="70.506912439999994"/>
    <s v="South Africa"/>
    <s v="Centurion"/>
    <s v="South Africa"/>
    <s v="Bilateral"/>
    <x v="55"/>
    <n v="307"/>
    <n v="10"/>
    <s v="No"/>
    <s v="No"/>
    <s v="No"/>
    <s v="Yes"/>
  </r>
  <r>
    <n v="58"/>
    <s v="ODI"/>
    <n v="2"/>
    <n v="3"/>
    <n v="112"/>
    <n v="119"/>
    <n v="94.117647059999996"/>
    <s v="South Africa"/>
    <s v="Durban"/>
    <s v="South Africa"/>
    <s v="Bilateral"/>
    <x v="56"/>
    <n v="270"/>
    <n v="4"/>
    <s v="No"/>
    <s v="Yes"/>
    <s v="Yes"/>
    <s v="Yes"/>
  </r>
  <r>
    <n v="59"/>
    <s v="ODI"/>
    <n v="1"/>
    <n v="3"/>
    <n v="160"/>
    <n v="159"/>
    <n v="100.62893080000001"/>
    <s v="South Africa"/>
    <s v="Cape Town"/>
    <s v="South Africa"/>
    <s v="Bilateral"/>
    <x v="57"/>
    <n v="303"/>
    <n v="6"/>
    <s v="Yes"/>
    <s v="Yes"/>
    <s v="Yes"/>
    <s v="Yes"/>
  </r>
  <r>
    <n v="60"/>
    <s v="ODI"/>
    <n v="2"/>
    <n v="3"/>
    <n v="129"/>
    <n v="96"/>
    <n v="134.375"/>
    <s v="South Africa"/>
    <s v="Centurion"/>
    <s v="South Africa"/>
    <s v="Bilateral"/>
    <x v="58"/>
    <n v="206"/>
    <n v="2"/>
    <s v="Yes"/>
    <s v="Yes"/>
    <s v="Yes"/>
    <s v="Yes"/>
  </r>
  <r>
    <n v="61"/>
    <s v="Test"/>
    <n v="2"/>
    <n v="4"/>
    <n v="149"/>
    <n v="225"/>
    <n v="66.222222220000006"/>
    <s v="England"/>
    <s v="Birmingham"/>
    <s v="England"/>
    <s v="Bilateral"/>
    <x v="59"/>
    <n v="274"/>
    <n v="10"/>
    <s v="No"/>
    <s v="No"/>
    <s v="No"/>
    <s v="Yes"/>
  </r>
  <r>
    <n v="62"/>
    <s v="Test"/>
    <n v="3"/>
    <n v="4"/>
    <n v="103"/>
    <n v="197"/>
    <n v="52.284263959999997"/>
    <s v="England"/>
    <s v="Nottingham"/>
    <s v="England"/>
    <s v="Bilateral"/>
    <x v="60"/>
    <n v="352"/>
    <n v="7"/>
    <s v="No"/>
    <s v="Yes"/>
    <s v="Yes"/>
    <s v="Yes"/>
  </r>
  <r>
    <n v="63"/>
    <s v="Test"/>
    <n v="1"/>
    <n v="4"/>
    <n v="139"/>
    <n v="230"/>
    <n v="60.434782609999999"/>
    <s v="West Indies"/>
    <s v="Rajkot"/>
    <s v="India"/>
    <s v="Bilateral"/>
    <x v="61"/>
    <n v="649"/>
    <n v="9"/>
    <s v="No"/>
    <s v="No"/>
    <s v="Yes"/>
    <s v="Yes"/>
  </r>
  <r>
    <n v="64"/>
    <s v="ODI"/>
    <n v="2"/>
    <n v="3"/>
    <n v="140"/>
    <n v="107"/>
    <n v="130.84112150000001"/>
    <s v="West Indies"/>
    <s v="Guwahati"/>
    <s v="India"/>
    <s v="Bilateral"/>
    <x v="62"/>
    <n v="326"/>
    <n v="2"/>
    <s v="No"/>
    <s v="Yes"/>
    <s v="Yes"/>
    <s v="Yes"/>
  </r>
  <r>
    <n v="65"/>
    <s v="ODI"/>
    <n v="1"/>
    <n v="3"/>
    <n v="157"/>
    <n v="129"/>
    <n v="121.70542639999999"/>
    <s v="West Indies"/>
    <s v="Vizag"/>
    <s v="India"/>
    <s v="Bilateral"/>
    <x v="63"/>
    <n v="321"/>
    <n v="6"/>
    <s v="Yes"/>
    <s v="Yes"/>
    <s v="Tie"/>
    <s v="Yes"/>
  </r>
  <r>
    <n v="66"/>
    <s v="ODI"/>
    <n v="2"/>
    <n v="3"/>
    <n v="107"/>
    <n v="119"/>
    <n v="89.915966389999994"/>
    <s v="West Indies"/>
    <s v="Pune"/>
    <s v="India"/>
    <s v="Bilateral"/>
    <x v="64"/>
    <n v="240"/>
    <n v="10"/>
    <s v="No"/>
    <s v="No"/>
    <s v="No"/>
    <s v="Yes"/>
  </r>
  <r>
    <n v="67"/>
    <s v="Test"/>
    <n v="2"/>
    <n v="4"/>
    <n v="123"/>
    <n v="257"/>
    <n v="47.859922179999998"/>
    <s v="Australia"/>
    <s v="Perth"/>
    <s v="Australia"/>
    <s v="Bilateral"/>
    <x v="65"/>
    <n v="283"/>
    <n v="10"/>
    <s v="No"/>
    <s v="No"/>
    <s v="No"/>
    <s v="Yes"/>
  </r>
  <r>
    <n v="68"/>
    <s v="ODI"/>
    <n v="2"/>
    <n v="3"/>
    <n v="104"/>
    <n v="112"/>
    <n v="92.857142859999996"/>
    <s v="Australia"/>
    <s v="Adelaide"/>
    <s v="Australia"/>
    <s v="Bilateral"/>
    <x v="66"/>
    <n v="299"/>
    <n v="4"/>
    <s v="No"/>
    <s v="Yes"/>
    <s v="Yes"/>
    <s v="Yes"/>
  </r>
  <r>
    <n v="69"/>
    <s v="ODI"/>
    <n v="1"/>
    <n v="3"/>
    <n v="116"/>
    <n v="120"/>
    <n v="96.666666669999998"/>
    <s v="Australia"/>
    <s v="Nagpur"/>
    <s v="India"/>
    <s v="Bilateral"/>
    <x v="67"/>
    <n v="250"/>
    <n v="10"/>
    <s v="No"/>
    <s v="Yes"/>
    <s v="Yes"/>
    <s v="Yes"/>
  </r>
  <r>
    <n v="70"/>
    <s v="ODI"/>
    <n v="2"/>
    <n v="3"/>
    <n v="123"/>
    <n v="95"/>
    <n v="129.47368420000001"/>
    <s v="Australia"/>
    <s v="Ranchi"/>
    <s v="India"/>
    <s v="Bilateral"/>
    <x v="68"/>
    <n v="313"/>
    <n v="5"/>
    <s v="No"/>
    <s v="No"/>
    <s v="No"/>
    <s v="Yes"/>
  </r>
  <r>
    <n v="71"/>
    <s v="T20"/>
    <n v="1"/>
    <s v="Open"/>
    <n v="100"/>
    <n v="58"/>
    <n v="172.41379309999999"/>
    <s v="Kolkata Knight Riders"/>
    <s v="Kolkata"/>
    <s v="India"/>
    <s v="IPL"/>
    <x v="69"/>
    <n v="213"/>
    <n v="4"/>
    <s v="No"/>
    <s v="Yes"/>
    <s v="Yes"/>
    <s v="Yes"/>
  </r>
  <r>
    <n v="72"/>
    <s v="ODI"/>
    <n v="1"/>
    <n v="3"/>
    <n v="120"/>
    <n v="125"/>
    <n v="96"/>
    <s v="West Indies"/>
    <s v="Port Of Spain"/>
    <s v="West Indies"/>
    <s v="Bilateral"/>
    <x v="70"/>
    <n v="279"/>
    <n v="7"/>
    <s v="No"/>
    <s v="Yes"/>
    <s v="Yes"/>
    <s v="Yes"/>
  </r>
  <r>
    <n v="73"/>
    <s v="ODI"/>
    <n v="2"/>
    <n v="3"/>
    <n v="114"/>
    <n v="99"/>
    <n v="115.15151520000001"/>
    <s v="West Indies"/>
    <s v="Port Of Spain"/>
    <s v="West Indies"/>
    <s v="Bilateral"/>
    <x v="71"/>
    <n v="256"/>
    <n v="4"/>
    <s v="Yes"/>
    <s v="Yes"/>
    <s v="Yes"/>
    <s v="Yes"/>
  </r>
  <r>
    <n v="74"/>
    <s v="Test"/>
    <n v="1"/>
    <n v="4"/>
    <n v="254"/>
    <n v="336"/>
    <n v="75.595238100000003"/>
    <s v="South Africa"/>
    <s v="Pune"/>
    <s v="India"/>
    <s v="Bilateral"/>
    <x v="72"/>
    <n v="601"/>
    <n v="5"/>
    <s v="Yes"/>
    <s v="Yes"/>
    <s v="Yes"/>
    <s v="Yes"/>
  </r>
  <r>
    <n v="75"/>
    <s v="Test"/>
    <n v="2"/>
    <n v="4"/>
    <n v="136"/>
    <n v="194"/>
    <n v="70.103092779999997"/>
    <s v="Bangladesh"/>
    <s v="Kolkata"/>
    <s v="India"/>
    <s v="Bilateral"/>
    <x v="73"/>
    <n v="347"/>
    <n v="9"/>
    <s v="No"/>
    <s v="No"/>
    <s v="Yes"/>
    <s v="Yes"/>
  </r>
  <r>
    <n v="76"/>
    <s v="T20i"/>
    <n v="1"/>
    <s v="Open"/>
    <n v="122"/>
    <n v="61"/>
    <n v="200"/>
    <s v="Afghanistan"/>
    <s v="Dubai"/>
    <s v="UAE"/>
    <s v="Asia Cup"/>
    <x v="74"/>
    <n v="212"/>
    <n v="2"/>
    <s v="Yes"/>
    <s v="Yes"/>
    <s v="Yes"/>
    <s v="No"/>
  </r>
  <r>
    <n v="77"/>
    <s v="ODI"/>
    <n v="1"/>
    <n v="3"/>
    <n v="113"/>
    <n v="91"/>
    <n v="124.17582419999999"/>
    <s v="Bangladesh"/>
    <s v="Chattogram"/>
    <s v="Bangladesh"/>
    <s v="Bilateral"/>
    <x v="75"/>
    <n v="409"/>
    <n v="8"/>
    <s v="No"/>
    <s v="No"/>
    <s v="Yes"/>
    <s v="No"/>
  </r>
  <r>
    <n v="78"/>
    <s v="ODI"/>
    <n v="1"/>
    <n v="3"/>
    <n v="113"/>
    <n v="87"/>
    <n v="129.88505749999999"/>
    <s v="Sri Lanka"/>
    <s v="Guwahati"/>
    <s v="India"/>
    <s v="Bilateral"/>
    <x v="76"/>
    <n v="373"/>
    <n v="7"/>
    <s v="No"/>
    <s v="Yes"/>
    <s v="Yes"/>
    <s v="No"/>
  </r>
  <r>
    <n v="79"/>
    <s v="ODI"/>
    <n v="1"/>
    <n v="3"/>
    <n v="166"/>
    <n v="110"/>
    <n v="150.9090909"/>
    <s v="Sri Lanka"/>
    <s v="Thiruvananthapuram"/>
    <s v="India"/>
    <s v="Bilateral"/>
    <x v="77"/>
    <n v="390"/>
    <n v="5"/>
    <s v="Yes"/>
    <s v="Yes"/>
    <s v="Yes"/>
    <s v="No"/>
  </r>
  <r>
    <n v="80"/>
    <s v="Test"/>
    <n v="2"/>
    <n v="4"/>
    <n v="186"/>
    <n v="364"/>
    <n v="51.098901099999999"/>
    <s v="Australia"/>
    <s v="Ahmedabad"/>
    <s v="India"/>
    <s v="Bilateral"/>
    <x v="78"/>
    <n v="571"/>
    <n v="9"/>
    <s v="No"/>
    <s v="Yes"/>
    <s v="Drawn"/>
    <s v="No"/>
  </r>
  <r>
    <n v="81"/>
    <s v="T20"/>
    <n v="2"/>
    <s v="Open"/>
    <n v="100"/>
    <n v="63"/>
    <n v="158.7301587"/>
    <s v="Sunrisers Hyderabad"/>
    <s v="Hyderabad"/>
    <s v="India"/>
    <s v="IPL"/>
    <x v="79"/>
    <n v="187"/>
    <n v="2"/>
    <s v="No"/>
    <s v="Yes"/>
    <s v="Yes"/>
    <s v="No"/>
  </r>
  <r>
    <n v="82"/>
    <s v="T20"/>
    <n v="1"/>
    <s v="Open"/>
    <n v="101"/>
    <n v="61"/>
    <n v="165.57377049999999"/>
    <s v="Gujarat Titans"/>
    <s v="Bengaluru"/>
    <s v="India"/>
    <s v="IPL"/>
    <x v="80"/>
    <n v="197"/>
    <n v="5"/>
    <s v="Yes"/>
    <s v="No"/>
    <s v="No"/>
    <s v="No"/>
  </r>
  <r>
    <n v="83"/>
    <s v="Test"/>
    <n v="1"/>
    <n v="4"/>
    <n v="121"/>
    <n v="206"/>
    <n v="58.737864080000001"/>
    <s v="West Indies"/>
    <s v="Port Of Spain"/>
    <s v="West Indies"/>
    <s v="Bilateral"/>
    <x v="81"/>
    <n v="438"/>
    <n v="10"/>
    <s v="No"/>
    <s v="No"/>
    <s v="Drawn"/>
    <s v="No"/>
  </r>
  <r>
    <n v="84"/>
    <s v="ODI"/>
    <n v="1"/>
    <n v="3"/>
    <n v="122"/>
    <n v="94"/>
    <n v="129.78723400000001"/>
    <s v="Pakistan"/>
    <s v="Colombo"/>
    <s v="Sri Lanka"/>
    <s v="Asia Cup"/>
    <x v="82"/>
    <n v="356"/>
    <n v="2"/>
    <s v="Yes"/>
    <s v="Yes"/>
    <s v="Yes"/>
    <s v="No"/>
  </r>
  <r>
    <n v="85"/>
    <s v="ODI"/>
    <n v="2"/>
    <n v="3"/>
    <n v="103"/>
    <n v="97"/>
    <n v="106.18556700000001"/>
    <s v="Bangladesh"/>
    <s v="Pune"/>
    <s v="India"/>
    <s v="World Cup"/>
    <x v="83"/>
    <n v="261"/>
    <n v="3"/>
    <s v="Yes"/>
    <s v="Yes"/>
    <s v="Yes"/>
    <s v="No"/>
  </r>
  <r>
    <n v="86"/>
    <s v="ODI"/>
    <n v="1"/>
    <n v="3"/>
    <n v="101"/>
    <n v="121"/>
    <n v="83.471074380000005"/>
    <s v="South Africa"/>
    <s v="Kolkata"/>
    <s v="India"/>
    <s v="World Cup"/>
    <x v="84"/>
    <n v="326"/>
    <n v="5"/>
    <s v="Yes"/>
    <s v="Yes"/>
    <s v="Yes"/>
    <s v="No"/>
  </r>
  <r>
    <n v="87"/>
    <s v="ODI"/>
    <n v="1"/>
    <n v="3"/>
    <n v="117"/>
    <n v="112"/>
    <n v="104.4642857"/>
    <s v="New Zealand"/>
    <s v="Mumbai"/>
    <s v="India"/>
    <s v="World Cup"/>
    <x v="85"/>
    <n v="397"/>
    <n v="4"/>
    <s v="No"/>
    <s v="No"/>
    <s v="Yes"/>
    <s v="No"/>
  </r>
  <r>
    <n v="88"/>
    <s v="T20"/>
    <n v="1"/>
    <s v="Open"/>
    <n v="113"/>
    <n v="72"/>
    <n v="156.94444440000001"/>
    <s v="Rajasthan Royals"/>
    <s v="Jaipur"/>
    <s v="India"/>
    <s v="IPL"/>
    <x v="86"/>
    <n v="183"/>
    <n v="3"/>
    <s v="Yes"/>
    <s v="No"/>
    <s v="No"/>
    <s v="No"/>
  </r>
  <r>
    <n v="89"/>
    <s v="Test"/>
    <n v="3"/>
    <n v="4"/>
    <n v="100"/>
    <n v="143"/>
    <n v="69.930069930000002"/>
    <s v="Australia"/>
    <s v="Perth"/>
    <s v="Australia"/>
    <s v="Bilateral"/>
    <x v="87"/>
    <n v="487"/>
    <n v="6"/>
    <s v="Yes"/>
    <s v="No"/>
    <s v="Yes"/>
    <s v="No"/>
  </r>
  <r>
    <n v="90"/>
    <s v="ODI"/>
    <n v="2"/>
    <n v="3"/>
    <n v="100"/>
    <n v="111"/>
    <n v="90.090090090000004"/>
    <s v="Pakistan"/>
    <s v="Dubai"/>
    <s v="UAE"/>
    <s v="Champions Trophy"/>
    <x v="88"/>
    <n v="244"/>
    <n v="4"/>
    <s v="Yes"/>
    <s v="Yes"/>
    <s v="Yes"/>
    <s v="No"/>
  </r>
  <r>
    <n v="91"/>
    <s v="ODI"/>
    <n v="1"/>
    <n v="3"/>
    <n v="135"/>
    <n v="120"/>
    <n v="112.5"/>
    <s v="South Africa"/>
    <s v="Ranchi"/>
    <s v="India"/>
    <s v="Bilateral"/>
    <x v="89"/>
    <n v="349"/>
    <n v="9"/>
    <s v="No"/>
    <s v="Yes"/>
    <s v="Yes"/>
    <s v="No"/>
  </r>
  <r>
    <n v="92"/>
    <s v="ODI"/>
    <n v="1"/>
    <n v="3"/>
    <n v="102"/>
    <n v="93"/>
    <n v="109.67741940000001"/>
    <s v="South Africa"/>
    <s v="Raipur"/>
    <s v="India"/>
    <s v="Bilateral"/>
    <x v="90"/>
    <n v="358"/>
    <n v="5"/>
    <s v="No"/>
    <s v="No"/>
    <s v="No"/>
    <s v="No"/>
  </r>
  <r>
    <n v="93"/>
    <s v="ODI"/>
    <n v="2"/>
    <n v="3"/>
    <n v="124"/>
    <n v="108"/>
    <n v="114.81481479999999"/>
    <s v="New Zealand"/>
    <s v="Indore"/>
    <s v="India"/>
    <s v="Bilateral"/>
    <x v="91"/>
    <n v="296"/>
    <n v="10"/>
    <s v="No"/>
    <s v="No"/>
    <s v="No"/>
    <s v="No"/>
  </r>
  <r>
    <m/>
    <m/>
    <m/>
    <m/>
    <m/>
    <m/>
    <m/>
    <m/>
    <m/>
    <m/>
    <m/>
    <x v="92"/>
    <m/>
    <m/>
    <m/>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FD7C64D-A2E4-4396-AB6E-1E6818187E5B}" name="PivotTable5"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68:B73" firstHeaderRow="1" firstDataRow="1" firstDataCol="1"/>
  <pivotFields count="18">
    <pivotField showAll="0"/>
    <pivotField axis="axisRow" showAll="0">
      <items count="5">
        <item x="0"/>
        <item x="2"/>
        <item x="3"/>
        <item x="1"/>
        <item t="default"/>
      </items>
    </pivotField>
    <pivotField showAll="0"/>
    <pivotField showAll="0"/>
    <pivotField showAll="0"/>
    <pivotField showAll="0"/>
    <pivotField dataField="1" showAll="0"/>
    <pivotField showAll="0">
      <items count="18">
        <item x="13"/>
        <item x="2"/>
        <item x="1"/>
        <item x="4"/>
        <item x="9"/>
        <item x="15"/>
        <item x="11"/>
        <item x="12"/>
        <item x="3"/>
        <item x="6"/>
        <item x="16"/>
        <item x="10"/>
        <item x="8"/>
        <item x="0"/>
        <item x="14"/>
        <item x="5"/>
        <item x="7"/>
        <item t="default"/>
      </items>
    </pivotField>
    <pivotField showAll="0"/>
    <pivotField showAll="0"/>
    <pivotField showAll="0"/>
    <pivotField showAll="0">
      <items count="17">
        <item x="0"/>
        <item x="1"/>
        <item x="2"/>
        <item x="3"/>
        <item x="4"/>
        <item x="5"/>
        <item x="6"/>
        <item x="7"/>
        <item x="8"/>
        <item x="9"/>
        <item x="10"/>
        <item x="11"/>
        <item x="12"/>
        <item x="13"/>
        <item x="14"/>
        <item x="15"/>
        <item t="default"/>
      </items>
    </pivotField>
    <pivotField showAll="0"/>
    <pivotField showAll="0"/>
    <pivotField showAll="0"/>
    <pivotField showAll="0"/>
    <pivotField showAll="0">
      <items count="5">
        <item x="2"/>
        <item x="1"/>
        <item x="3"/>
        <item x="0"/>
        <item t="default"/>
      </items>
    </pivotField>
    <pivotField showAll="0"/>
  </pivotFields>
  <rowFields count="1">
    <field x="1"/>
  </rowFields>
  <rowItems count="5">
    <i>
      <x/>
    </i>
    <i>
      <x v="1"/>
    </i>
    <i>
      <x v="2"/>
    </i>
    <i>
      <x v="3"/>
    </i>
    <i t="grand">
      <x/>
    </i>
  </rowItems>
  <colItems count="1">
    <i/>
  </colItems>
  <dataFields count="1">
    <dataField name="Average of Strike Rate" fld="6" subtotal="average" baseField="1" baseItem="0"/>
  </dataFields>
  <chartFormats count="1">
    <chartFormat chart="4"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AB58326-98A8-457A-B97C-64E6670CF0DD}" name="PivotTable4"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43:B61" firstHeaderRow="1" firstDataRow="1" firstDataCol="1"/>
  <pivotFields count="18">
    <pivotField showAll="0"/>
    <pivotField showAll="0">
      <items count="5">
        <item x="0"/>
        <item x="2"/>
        <item x="3"/>
        <item x="1"/>
        <item t="default"/>
      </items>
    </pivotField>
    <pivotField showAll="0"/>
    <pivotField showAll="0"/>
    <pivotField dataField="1" showAll="0"/>
    <pivotField showAll="0"/>
    <pivotField showAll="0"/>
    <pivotField axis="axisRow" showAll="0">
      <items count="18">
        <item x="13"/>
        <item x="2"/>
        <item x="1"/>
        <item x="4"/>
        <item x="9"/>
        <item x="15"/>
        <item x="11"/>
        <item x="12"/>
        <item x="3"/>
        <item x="6"/>
        <item x="16"/>
        <item x="10"/>
        <item x="8"/>
        <item x="0"/>
        <item x="14"/>
        <item x="5"/>
        <item x="7"/>
        <item t="default"/>
      </items>
    </pivotField>
    <pivotField showAll="0"/>
    <pivotField showAll="0"/>
    <pivotField showAll="0"/>
    <pivotField showAll="0">
      <items count="17">
        <item x="0"/>
        <item x="1"/>
        <item x="2"/>
        <item x="3"/>
        <item x="4"/>
        <item x="5"/>
        <item x="6"/>
        <item x="7"/>
        <item x="8"/>
        <item x="9"/>
        <item x="10"/>
        <item x="11"/>
        <item x="12"/>
        <item x="13"/>
        <item x="14"/>
        <item x="15"/>
        <item t="default"/>
      </items>
    </pivotField>
    <pivotField showAll="0"/>
    <pivotField showAll="0"/>
    <pivotField showAll="0"/>
    <pivotField showAll="0"/>
    <pivotField showAll="0">
      <items count="5">
        <item x="2"/>
        <item x="1"/>
        <item x="3"/>
        <item x="0"/>
        <item t="default"/>
      </items>
    </pivotField>
    <pivotField showAll="0"/>
  </pivotFields>
  <rowFields count="1">
    <field x="7"/>
  </rowFields>
  <rowItems count="18">
    <i>
      <x/>
    </i>
    <i>
      <x v="1"/>
    </i>
    <i>
      <x v="2"/>
    </i>
    <i>
      <x v="3"/>
    </i>
    <i>
      <x v="4"/>
    </i>
    <i>
      <x v="5"/>
    </i>
    <i>
      <x v="6"/>
    </i>
    <i>
      <x v="7"/>
    </i>
    <i>
      <x v="8"/>
    </i>
    <i>
      <x v="9"/>
    </i>
    <i>
      <x v="10"/>
    </i>
    <i>
      <x v="11"/>
    </i>
    <i>
      <x v="12"/>
    </i>
    <i>
      <x v="13"/>
    </i>
    <i>
      <x v="14"/>
    </i>
    <i>
      <x v="15"/>
    </i>
    <i>
      <x v="16"/>
    </i>
    <i t="grand">
      <x/>
    </i>
  </rowItems>
  <colItems count="1">
    <i/>
  </colItems>
  <dataFields count="1">
    <dataField name="Count of Score" fld="4" subtotal="count" baseField="7" baseItem="0"/>
  </dataFields>
  <chartFormats count="1">
    <chartFormat chart="6"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C4937A8-AC6F-4851-9380-E380E2DF8ACC}" name="PivotTable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3:B8" firstHeaderRow="1" firstDataRow="1" firstDataCol="1"/>
  <pivotFields count="18">
    <pivotField showAll="0"/>
    <pivotField axis="axisRow" showAll="0">
      <items count="5">
        <item x="0"/>
        <item x="2"/>
        <item x="3"/>
        <item x="1"/>
        <item t="default"/>
      </items>
    </pivotField>
    <pivotField showAll="0"/>
    <pivotField showAll="0"/>
    <pivotField dataField="1" showAll="0"/>
    <pivotField showAll="0"/>
    <pivotField showAll="0"/>
    <pivotField showAll="0">
      <items count="18">
        <item x="13"/>
        <item x="2"/>
        <item x="1"/>
        <item x="4"/>
        <item x="9"/>
        <item x="15"/>
        <item x="11"/>
        <item x="12"/>
        <item x="3"/>
        <item x="6"/>
        <item x="16"/>
        <item x="10"/>
        <item x="8"/>
        <item x="0"/>
        <item x="14"/>
        <item x="5"/>
        <item x="7"/>
        <item t="default"/>
      </items>
    </pivotField>
    <pivotField showAll="0"/>
    <pivotField showAll="0"/>
    <pivotField showAll="0"/>
    <pivotField showAll="0">
      <items count="17">
        <item x="0"/>
        <item x="1"/>
        <item x="2"/>
        <item x="3"/>
        <item x="4"/>
        <item x="5"/>
        <item x="6"/>
        <item x="7"/>
        <item x="8"/>
        <item x="9"/>
        <item x="10"/>
        <item x="11"/>
        <item x="12"/>
        <item x="13"/>
        <item x="14"/>
        <item x="15"/>
        <item t="default"/>
      </items>
    </pivotField>
    <pivotField showAll="0"/>
    <pivotField showAll="0"/>
    <pivotField showAll="0"/>
    <pivotField showAll="0"/>
    <pivotField showAll="0">
      <items count="5">
        <item x="2"/>
        <item x="1"/>
        <item x="3"/>
        <item x="0"/>
        <item t="default"/>
      </items>
    </pivotField>
    <pivotField showAll="0"/>
  </pivotFields>
  <rowFields count="1">
    <field x="1"/>
  </rowFields>
  <rowItems count="5">
    <i>
      <x/>
    </i>
    <i>
      <x v="1"/>
    </i>
    <i>
      <x v="2"/>
    </i>
    <i>
      <x v="3"/>
    </i>
    <i t="grand">
      <x/>
    </i>
  </rowItems>
  <colItems count="1">
    <i/>
  </colItems>
  <dataFields count="1">
    <dataField name="Count of Score" fld="4" subtotal="count" baseField="1" baseItem="0"/>
  </dataFields>
  <chartFormats count="1">
    <chartFormat chart="1"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F588345-786B-471D-94D9-E6900327FC79}" name="PivotTable6"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80:B85" firstHeaderRow="1" firstDataRow="1" firstDataCol="1"/>
  <pivotFields count="18">
    <pivotField showAll="0"/>
    <pivotField showAll="0">
      <items count="5">
        <item x="0"/>
        <item x="2"/>
        <item x="3"/>
        <item x="1"/>
        <item t="default"/>
      </items>
    </pivotField>
    <pivotField showAll="0"/>
    <pivotField showAll="0"/>
    <pivotField dataField="1" showAll="0"/>
    <pivotField showAll="0"/>
    <pivotField showAll="0"/>
    <pivotField showAll="0">
      <items count="18">
        <item x="13"/>
        <item x="2"/>
        <item x="1"/>
        <item x="4"/>
        <item x="9"/>
        <item x="15"/>
        <item x="11"/>
        <item x="12"/>
        <item x="3"/>
        <item x="6"/>
        <item x="16"/>
        <item x="10"/>
        <item x="8"/>
        <item x="0"/>
        <item x="14"/>
        <item x="5"/>
        <item x="7"/>
        <item t="default"/>
      </items>
    </pivotField>
    <pivotField showAll="0"/>
    <pivotField showAll="0"/>
    <pivotField showAll="0"/>
    <pivotField showAll="0">
      <items count="17">
        <item x="0"/>
        <item x="1"/>
        <item x="2"/>
        <item x="3"/>
        <item x="4"/>
        <item x="5"/>
        <item x="6"/>
        <item x="7"/>
        <item x="8"/>
        <item x="9"/>
        <item x="10"/>
        <item x="11"/>
        <item x="12"/>
        <item x="13"/>
        <item x="14"/>
        <item x="15"/>
        <item t="default"/>
      </items>
    </pivotField>
    <pivotField showAll="0"/>
    <pivotField showAll="0"/>
    <pivotField showAll="0"/>
    <pivotField showAll="0"/>
    <pivotField axis="axisRow" showAll="0">
      <items count="5">
        <item x="2"/>
        <item x="1"/>
        <item x="3"/>
        <item x="0"/>
        <item t="default"/>
      </items>
    </pivotField>
    <pivotField showAll="0"/>
  </pivotFields>
  <rowFields count="1">
    <field x="16"/>
  </rowFields>
  <rowItems count="5">
    <i>
      <x/>
    </i>
    <i>
      <x v="1"/>
    </i>
    <i>
      <x v="2"/>
    </i>
    <i>
      <x v="3"/>
    </i>
    <i t="grand">
      <x/>
    </i>
  </rowItems>
  <colItems count="1">
    <i/>
  </colItems>
  <dataFields count="1">
    <dataField name="Count of Score" fld="4" subtotal="count" baseField="16" baseItem="0"/>
  </dataFields>
  <chartFormats count="5">
    <chartFormat chart="1" format="1" series="1">
      <pivotArea type="data" outline="0" fieldPosition="0">
        <references count="1">
          <reference field="4294967294" count="1" selected="0">
            <x v="0"/>
          </reference>
        </references>
      </pivotArea>
    </chartFormat>
    <chartFormat chart="1" format="2">
      <pivotArea type="data" outline="0" fieldPosition="0">
        <references count="2">
          <reference field="4294967294" count="1" selected="0">
            <x v="0"/>
          </reference>
          <reference field="16" count="1" selected="0">
            <x v="0"/>
          </reference>
        </references>
      </pivotArea>
    </chartFormat>
    <chartFormat chart="1" format="3">
      <pivotArea type="data" outline="0" fieldPosition="0">
        <references count="2">
          <reference field="4294967294" count="1" selected="0">
            <x v="0"/>
          </reference>
          <reference field="16" count="1" selected="0">
            <x v="1"/>
          </reference>
        </references>
      </pivotArea>
    </chartFormat>
    <chartFormat chart="1" format="4">
      <pivotArea type="data" outline="0" fieldPosition="0">
        <references count="2">
          <reference field="4294967294" count="1" selected="0">
            <x v="0"/>
          </reference>
          <reference field="16" count="1" selected="0">
            <x v="2"/>
          </reference>
        </references>
      </pivotArea>
    </chartFormat>
    <chartFormat chart="1" format="5">
      <pivotArea type="data" outline="0" fieldPosition="0">
        <references count="2">
          <reference field="4294967294" count="1" selected="0">
            <x v="0"/>
          </reference>
          <reference field="16"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1DFDD99-9387-4852-ACD0-818A5936C628}" name="PivotTable11" cacheId="2"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E3:F21" firstHeaderRow="1" firstDataRow="1" firstDataCol="1"/>
  <pivotFields count="20">
    <pivotField showAll="0"/>
    <pivotField showAll="0"/>
    <pivotField showAll="0"/>
    <pivotField showAll="0"/>
    <pivotField dataField="1" showAll="0"/>
    <pivotField showAll="0"/>
    <pivotField showAll="0"/>
    <pivotField showAll="0"/>
    <pivotField showAll="0"/>
    <pivotField showAll="0"/>
    <pivotField showAll="0"/>
    <pivotField axis="axisRow" showAll="0">
      <items count="15">
        <item x="0"/>
        <item x="1"/>
        <item x="2"/>
        <item x="3"/>
        <item x="4"/>
        <item x="5"/>
        <item x="6"/>
        <item x="7"/>
        <item x="8"/>
        <item x="9"/>
        <item x="10"/>
        <item x="11"/>
        <item x="12"/>
        <item x="13"/>
        <item t="default"/>
      </items>
    </pivotField>
    <pivotField showAll="0"/>
    <pivotField showAll="0"/>
    <pivotField showAll="0"/>
    <pivotField showAll="0"/>
    <pivotField showAll="0"/>
    <pivotField showAll="0"/>
    <pivotField axis="axisRow" showAll="0">
      <items count="7">
        <item sd="0" x="0"/>
        <item sd="0" x="1"/>
        <item sd="0" x="2"/>
        <item sd="0" x="3"/>
        <item sd="0" x="4"/>
        <item sd="0" x="5"/>
        <item t="default"/>
      </items>
    </pivotField>
    <pivotField axis="axisRow" showAll="0">
      <items count="21">
        <item sd="0" x="0"/>
        <item sd="0" x="1"/>
        <item sd="0" x="2"/>
        <item sd="0" x="3"/>
        <item sd="0" x="4"/>
        <item sd="0" x="5"/>
        <item sd="0" x="6"/>
        <item sd="0" x="7"/>
        <item sd="0" x="8"/>
        <item sd="0" x="9"/>
        <item sd="0" x="10"/>
        <item sd="0" x="11"/>
        <item sd="0" x="12"/>
        <item sd="0" x="13"/>
        <item sd="0" x="14"/>
        <item sd="0" x="15"/>
        <item sd="0" x="16"/>
        <item sd="0" x="17"/>
        <item sd="0" x="18"/>
        <item sd="0" x="19"/>
        <item t="default"/>
      </items>
    </pivotField>
  </pivotFields>
  <rowFields count="3">
    <field x="19"/>
    <field x="18"/>
    <field x="11"/>
  </rowFields>
  <rowItems count="18">
    <i>
      <x/>
    </i>
    <i>
      <x v="1"/>
    </i>
    <i>
      <x v="2"/>
    </i>
    <i>
      <x v="3"/>
    </i>
    <i>
      <x v="4"/>
    </i>
    <i>
      <x v="5"/>
    </i>
    <i>
      <x v="6"/>
    </i>
    <i>
      <x v="7"/>
    </i>
    <i>
      <x v="8"/>
    </i>
    <i>
      <x v="9"/>
    </i>
    <i>
      <x v="10"/>
    </i>
    <i>
      <x v="11"/>
    </i>
    <i>
      <x v="14"/>
    </i>
    <i>
      <x v="15"/>
    </i>
    <i>
      <x v="16"/>
    </i>
    <i>
      <x v="17"/>
    </i>
    <i>
      <x v="18"/>
    </i>
    <i t="grand">
      <x/>
    </i>
  </rowItems>
  <colItems count="1">
    <i/>
  </colItems>
  <dataFields count="1">
    <dataField name="Count of Score" fld="4" subtotal="count" baseField="19"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Host_Nation" xr10:uid="{09225B64-ECBF-4380-96B4-75B587B31CDE}" sourceName="Host Nation">
  <data>
    <tabular pivotCacheId="636216805">
      <items count="10">
        <i x="3" s="1"/>
        <i x="1" s="1"/>
        <i x="2" s="1"/>
        <i x="0" s="1"/>
        <i x="8" s="1"/>
        <i x="7" s="1"/>
        <i x="4" s="1"/>
        <i x="9" s="1"/>
        <i x="5" s="1"/>
        <i x="6"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ptain" xr10:uid="{57143AB3-6E39-4766-9B49-EFDC73DCA172}" sourceName="Captain">
  <data>
    <tabular pivotCacheId="636216805">
      <items count="2">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17A514FF-8EE7-4328-B680-6DA3111DD413}" sourceName="Year">
  <data>
    <tabular pivotCacheId="636216805">
      <items count="16">
        <i x="0" s="1"/>
        <i x="1" s="1"/>
        <i x="2" s="1"/>
        <i x="3" s="1"/>
        <i x="4" s="1"/>
        <i x="5" s="1"/>
        <i x="6" s="1"/>
        <i x="7" s="1"/>
        <i x="8" s="1"/>
        <i x="9" s="1"/>
        <i x="10" s="1"/>
        <i x="11" s="1"/>
        <i x="12" s="1"/>
        <i x="13" s="1"/>
        <i x="14" s="1"/>
        <i x="15"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Format" xr10:uid="{1A38BB0B-4FF1-4946-A108-27FB85994238}" sourceName="Format">
  <pivotTables>
    <pivotTable tabId="4" name="PivotTable2"/>
    <pivotTable tabId="4" name="PivotTable4"/>
    <pivotTable tabId="4" name="PivotTable5"/>
    <pivotTable tabId="4" name="PivotTable6"/>
  </pivotTables>
  <data>
    <tabular pivotCacheId="636216805">
      <items count="4">
        <i x="0" s="1"/>
        <i x="2" s="1"/>
        <i x="3" s="1"/>
        <i x="1"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ainst1" xr10:uid="{51430B06-DB24-4F20-9C5E-FB648039D64B}" sourceName="Against">
  <pivotTables>
    <pivotTable tabId="4" name="PivotTable2"/>
    <pivotTable tabId="4" name="PivotTable4"/>
    <pivotTable tabId="4" name="PivotTable5"/>
    <pivotTable tabId="4" name="PivotTable6"/>
  </pivotTables>
  <data>
    <tabular pivotCacheId="636216805">
      <items count="17">
        <i x="13" s="1"/>
        <i x="2" s="1"/>
        <i x="1" s="1"/>
        <i x="4" s="1"/>
        <i x="9" s="1"/>
        <i x="15" s="1"/>
        <i x="11" s="1"/>
        <i x="12" s="1"/>
        <i x="3" s="1"/>
        <i x="6" s="1"/>
        <i x="16" s="1"/>
        <i x="10" s="1"/>
        <i x="8" s="1"/>
        <i x="0" s="1"/>
        <i x="14" s="1"/>
        <i x="5" s="1"/>
        <i x="7"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Host Nation" xr10:uid="{5588A90A-0FA4-4465-88FE-9F074D4D32AC}" cache="Slicer_Host_Nation" caption="Host Nation" rowHeight="171450"/>
  <slicer name="Captain" xr10:uid="{A89AD854-923D-4521-9AD9-B0425EF00C3C}" cache="Slicer_Captain" caption="Captain" rowHeight="1714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42E168C9-E1DC-41AE-BF63-1A909AA10EDC}" cache="Slicer_Year" caption="Year" rowHeight="171450"/>
  <slicer name="Format 1" xr10:uid="{701ED9A3-9C77-42A3-B840-07ADB003A779}" cache="Slicer_Format" caption="Format" rowHeight="171450"/>
  <slicer name="Against 1" xr10:uid="{F05E8577-C11D-402C-91E5-75067DEF9D7B}" cache="Slicer_Against1" caption="Against" rowHeight="1714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80EEF1B-1B27-4A61-A1AF-F782184C17C8}" name="Table1" displayName="Table1" ref="A1:R94" totalsRowShown="0" headerRowDxfId="19" dataDxfId="18">
  <autoFilter ref="A1:R94" xr:uid="{280EEF1B-1B27-4A61-A1AF-F782184C17C8}"/>
  <tableColumns count="18">
    <tableColumn id="1" xr3:uid="{84FBE846-6050-4B29-915D-1A9F0DDB94DA}" name="Number" dataDxfId="17"/>
    <tableColumn id="2" xr3:uid="{A9485C04-BD1E-482E-B6EE-F079F7CF404B}" name="Format" dataDxfId="16"/>
    <tableColumn id="3" xr3:uid="{9FC5EEC4-ABA0-4568-AEA5-FA797B199BFA}" name="Inning" dataDxfId="15"/>
    <tableColumn id="4" xr3:uid="{A414CF51-1FFF-4C98-A222-181666FC0271}" name="Position" dataDxfId="14"/>
    <tableColumn id="5" xr3:uid="{40C54F24-B965-401C-BA52-5041CF43C3C8}" name="Score" dataDxfId="13"/>
    <tableColumn id="6" xr3:uid="{C7527B8E-F273-41C3-A6CC-130A01626A0C}" name="Balls" dataDxfId="12"/>
    <tableColumn id="7" xr3:uid="{329397A3-66FE-4D66-91AF-75A082ABF9F5}" name="Strike Rate" dataDxfId="11"/>
    <tableColumn id="8" xr3:uid="{478C4134-FE40-4F6C-814B-25B7DE468CC4}" name="Against" dataDxfId="10"/>
    <tableColumn id="9" xr3:uid="{6E5DACA6-9C1E-4C2B-8A15-2E606D86CB80}" name="Venue" dataDxfId="9"/>
    <tableColumn id="10" xr3:uid="{01B10976-C1E6-4BD6-A916-1BCF9022A48D}" name="Host Nation" dataDxfId="8"/>
    <tableColumn id="11" xr3:uid="{73FBC813-7B4B-42AB-8B10-B8F91EDBB5F7}" name="Series" dataDxfId="7"/>
    <tableColumn id="12" xr3:uid="{9493F1A5-DA84-4361-B407-4B1072EBCBE3}" name="Year" dataDxfId="6"/>
    <tableColumn id="13" xr3:uid="{B3248299-D61E-49EC-894F-995AD7A00CAE}" name="Team Total" dataDxfId="5"/>
    <tableColumn id="14" xr3:uid="{B861BB09-B0FC-4E77-B027-08D2E4483BF3}" name="Wickets lost" dataDxfId="4"/>
    <tableColumn id="15" xr3:uid="{1CD1D0DD-4267-4622-8D83-AC247145456E}" name="Not Out" dataDxfId="3"/>
    <tableColumn id="16" xr3:uid="{280C0C1F-12A2-4A25-8F18-E397C13A6821}" name="MOTM" dataDxfId="2"/>
    <tableColumn id="17" xr3:uid="{C868DA0B-F4C3-4CEB-B6BD-1FF30C536A7C}" name="Win" dataDxfId="1"/>
    <tableColumn id="18" xr3:uid="{1CC803AF-72DC-4540-9178-FCEFE2B43BDE}" name="Captain" dataDxfId="0"/>
  </tableColumns>
  <tableStyleInfo name="TableStyleMedium5"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Year" xr10:uid="{6278FB52-8066-4BBE-AEE9-86CCCD635288}" sourceName="Year">
  <pivotTables>
    <pivotTable tabId="4" name="PivotTable11"/>
  </pivotTables>
  <state minimalRefreshVersion="6" lastRefreshVersion="6" pivotCacheId="1025297812" filterType="unknown">
    <bounds startDate="2009-01-01T00:00:00" endDate="2027-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Year 1" xr10:uid="{A6F9461D-1D33-432A-BEC9-8F74B8A107C6}" cache="NativeTimeline_Year" caption="Year" level="0" selectionLevel="0" scrollPosition="2009-01-01T00:00:00"/>
</timelines>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7" Type="http://schemas.microsoft.com/office/2007/relationships/slicer" Target="../slicers/slicer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drawing" Target="../drawings/drawing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2.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5F2B8E-E885-471E-B72A-F14C25D93BA0}">
  <sheetPr codeName="Sheet1"/>
  <dimension ref="A3:F85"/>
  <sheetViews>
    <sheetView topLeftCell="A9" workbookViewId="0">
      <selection activeCell="E3" sqref="E3:F21"/>
    </sheetView>
  </sheetViews>
  <sheetFormatPr defaultRowHeight="10.199999999999999" x14ac:dyDescent="0.2"/>
  <cols>
    <col min="1" max="1" width="12" bestFit="1" customWidth="1"/>
    <col min="2" max="2" width="12.42578125" bestFit="1" customWidth="1"/>
    <col min="5" max="5" width="12.85546875" bestFit="1" customWidth="1"/>
    <col min="6" max="6" width="12.42578125" bestFit="1" customWidth="1"/>
    <col min="9" max="10" width="12.28515625" bestFit="1" customWidth="1"/>
  </cols>
  <sheetData>
    <row r="3" spans="1:6" x14ac:dyDescent="0.2">
      <c r="A3" s="2" t="s">
        <v>98</v>
      </c>
      <c r="B3" t="s">
        <v>100</v>
      </c>
      <c r="E3" s="2" t="s">
        <v>98</v>
      </c>
      <c r="F3" t="s">
        <v>100</v>
      </c>
    </row>
    <row r="4" spans="1:6" x14ac:dyDescent="0.2">
      <c r="A4" s="3" t="s">
        <v>18</v>
      </c>
      <c r="B4" s="20">
        <v>54</v>
      </c>
      <c r="E4" s="3" t="s">
        <v>110</v>
      </c>
      <c r="F4" s="20"/>
    </row>
    <row r="5" spans="1:6" x14ac:dyDescent="0.2">
      <c r="A5" s="3" t="s">
        <v>63</v>
      </c>
      <c r="B5" s="20">
        <v>8</v>
      </c>
      <c r="E5" s="3" t="s">
        <v>104</v>
      </c>
      <c r="F5" s="20">
        <v>1</v>
      </c>
    </row>
    <row r="6" spans="1:6" x14ac:dyDescent="0.2">
      <c r="A6" s="3" t="s">
        <v>86</v>
      </c>
      <c r="B6" s="20">
        <v>1</v>
      </c>
      <c r="E6" s="3" t="s">
        <v>105</v>
      </c>
      <c r="F6" s="20">
        <v>3</v>
      </c>
    </row>
    <row r="7" spans="1:6" x14ac:dyDescent="0.2">
      <c r="A7" s="3" t="s">
        <v>37</v>
      </c>
      <c r="B7" s="20">
        <v>30</v>
      </c>
      <c r="E7" s="3" t="s">
        <v>106</v>
      </c>
      <c r="F7" s="20">
        <v>4</v>
      </c>
    </row>
    <row r="8" spans="1:6" x14ac:dyDescent="0.2">
      <c r="A8" s="3" t="s">
        <v>99</v>
      </c>
      <c r="B8" s="20">
        <v>93</v>
      </c>
      <c r="E8" s="3" t="s">
        <v>107</v>
      </c>
      <c r="F8" s="20">
        <v>8</v>
      </c>
    </row>
    <row r="9" spans="1:6" x14ac:dyDescent="0.2">
      <c r="E9" s="3" t="s">
        <v>111</v>
      </c>
      <c r="F9" s="20">
        <v>6</v>
      </c>
    </row>
    <row r="10" spans="1:6" x14ac:dyDescent="0.2">
      <c r="E10" s="3" t="s">
        <v>112</v>
      </c>
      <c r="F10" s="20">
        <v>8</v>
      </c>
    </row>
    <row r="11" spans="1:6" x14ac:dyDescent="0.2">
      <c r="E11" s="3" t="s">
        <v>113</v>
      </c>
      <c r="F11" s="20">
        <v>4</v>
      </c>
    </row>
    <row r="12" spans="1:6" x14ac:dyDescent="0.2">
      <c r="E12" s="3" t="s">
        <v>114</v>
      </c>
      <c r="F12" s="20">
        <v>11</v>
      </c>
    </row>
    <row r="13" spans="1:6" x14ac:dyDescent="0.2">
      <c r="E13" s="3" t="s">
        <v>115</v>
      </c>
      <c r="F13" s="20">
        <v>11</v>
      </c>
    </row>
    <row r="14" spans="1:6" x14ac:dyDescent="0.2">
      <c r="E14" s="3" t="s">
        <v>116</v>
      </c>
      <c r="F14" s="20">
        <v>11</v>
      </c>
    </row>
    <row r="15" spans="1:6" x14ac:dyDescent="0.2">
      <c r="E15" s="3" t="s">
        <v>117</v>
      </c>
      <c r="F15" s="20">
        <v>8</v>
      </c>
    </row>
    <row r="16" spans="1:6" x14ac:dyDescent="0.2">
      <c r="E16" s="3" t="s">
        <v>118</v>
      </c>
      <c r="F16" s="20">
        <v>2</v>
      </c>
    </row>
    <row r="17" spans="5:6" x14ac:dyDescent="0.2">
      <c r="E17" s="3" t="s">
        <v>119</v>
      </c>
      <c r="F17" s="20">
        <v>10</v>
      </c>
    </row>
    <row r="18" spans="5:6" x14ac:dyDescent="0.2">
      <c r="E18" s="3" t="s">
        <v>120</v>
      </c>
      <c r="F18" s="20">
        <v>2</v>
      </c>
    </row>
    <row r="19" spans="5:6" x14ac:dyDescent="0.2">
      <c r="E19" s="3" t="s">
        <v>121</v>
      </c>
      <c r="F19" s="20">
        <v>3</v>
      </c>
    </row>
    <row r="20" spans="5:6" x14ac:dyDescent="0.2">
      <c r="E20" s="3" t="s">
        <v>122</v>
      </c>
      <c r="F20" s="20">
        <v>1</v>
      </c>
    </row>
    <row r="21" spans="5:6" x14ac:dyDescent="0.2">
      <c r="E21" s="3" t="s">
        <v>99</v>
      </c>
      <c r="F21" s="20">
        <v>93</v>
      </c>
    </row>
    <row r="22" spans="5:6" x14ac:dyDescent="0.2"/>
    <row r="23" spans="5:6" x14ac:dyDescent="0.2"/>
    <row r="24" spans="5:6" x14ac:dyDescent="0.2"/>
    <row r="25" spans="5:6" x14ac:dyDescent="0.2"/>
    <row r="26" spans="5:6" x14ac:dyDescent="0.2"/>
    <row r="27" spans="5:6" x14ac:dyDescent="0.2"/>
    <row r="28" spans="5:6" x14ac:dyDescent="0.2"/>
    <row r="29" spans="5:6" x14ac:dyDescent="0.2"/>
    <row r="30" spans="5:6" x14ac:dyDescent="0.2"/>
    <row r="31" spans="5:6" x14ac:dyDescent="0.2"/>
    <row r="43" spans="1:2" x14ac:dyDescent="0.2">
      <c r="A43" s="2" t="s">
        <v>98</v>
      </c>
      <c r="B43" t="s">
        <v>100</v>
      </c>
    </row>
    <row r="44" spans="1:2" x14ac:dyDescent="0.2">
      <c r="A44" s="3" t="s">
        <v>87</v>
      </c>
      <c r="B44" s="20">
        <v>1</v>
      </c>
    </row>
    <row r="45" spans="1:2" x14ac:dyDescent="0.2">
      <c r="A45" s="3" t="s">
        <v>28</v>
      </c>
      <c r="B45" s="20">
        <v>17</v>
      </c>
    </row>
    <row r="46" spans="1:2" x14ac:dyDescent="0.2">
      <c r="A46" s="3" t="s">
        <v>25</v>
      </c>
      <c r="B46" s="20">
        <v>7</v>
      </c>
    </row>
    <row r="47" spans="1:2" x14ac:dyDescent="0.2">
      <c r="A47" s="3" t="s">
        <v>33</v>
      </c>
      <c r="B47" s="20">
        <v>8</v>
      </c>
    </row>
    <row r="48" spans="1:2" x14ac:dyDescent="0.2">
      <c r="A48" s="3" t="s">
        <v>65</v>
      </c>
      <c r="B48" s="20">
        <v>2</v>
      </c>
    </row>
    <row r="49" spans="1:2" x14ac:dyDescent="0.2">
      <c r="A49" s="3" t="s">
        <v>94</v>
      </c>
      <c r="B49" s="20">
        <v>1</v>
      </c>
    </row>
    <row r="50" spans="1:2" x14ac:dyDescent="0.2">
      <c r="A50" s="3" t="s">
        <v>69</v>
      </c>
      <c r="B50" s="20">
        <v>1</v>
      </c>
    </row>
    <row r="51" spans="1:2" x14ac:dyDescent="0.2">
      <c r="A51" s="3" t="s">
        <v>85</v>
      </c>
      <c r="B51" s="20">
        <v>1</v>
      </c>
    </row>
    <row r="52" spans="1:2" x14ac:dyDescent="0.2">
      <c r="A52" s="3" t="s">
        <v>30</v>
      </c>
      <c r="B52" s="20">
        <v>10</v>
      </c>
    </row>
    <row r="53" spans="1:2" x14ac:dyDescent="0.2">
      <c r="A53" s="3" t="s">
        <v>41</v>
      </c>
      <c r="B53" s="20">
        <v>4</v>
      </c>
    </row>
    <row r="54" spans="1:2" x14ac:dyDescent="0.2">
      <c r="A54" s="3" t="s">
        <v>95</v>
      </c>
      <c r="B54" s="20">
        <v>1</v>
      </c>
    </row>
    <row r="55" spans="1:2" x14ac:dyDescent="0.2">
      <c r="A55" s="3" t="s">
        <v>68</v>
      </c>
      <c r="B55" s="20">
        <v>1</v>
      </c>
    </row>
    <row r="56" spans="1:2" x14ac:dyDescent="0.2">
      <c r="A56" s="3" t="s">
        <v>52</v>
      </c>
      <c r="B56" s="20">
        <v>10</v>
      </c>
    </row>
    <row r="57" spans="1:2" x14ac:dyDescent="0.2">
      <c r="A57" s="3" t="s">
        <v>19</v>
      </c>
      <c r="B57" s="20">
        <v>15</v>
      </c>
    </row>
    <row r="58" spans="1:2" x14ac:dyDescent="0.2">
      <c r="A58" s="3" t="s">
        <v>93</v>
      </c>
      <c r="B58" s="20">
        <v>1</v>
      </c>
    </row>
    <row r="59" spans="1:2" x14ac:dyDescent="0.2">
      <c r="A59" s="3" t="s">
        <v>36</v>
      </c>
      <c r="B59" s="20">
        <v>12</v>
      </c>
    </row>
    <row r="60" spans="1:2" x14ac:dyDescent="0.2">
      <c r="A60" s="3" t="s">
        <v>49</v>
      </c>
      <c r="B60" s="20">
        <v>1</v>
      </c>
    </row>
    <row r="61" spans="1:2" x14ac:dyDescent="0.2">
      <c r="A61" s="3" t="s">
        <v>99</v>
      </c>
      <c r="B61" s="20">
        <v>93</v>
      </c>
    </row>
    <row r="68" spans="1:2" x14ac:dyDescent="0.2">
      <c r="A68" s="2" t="s">
        <v>98</v>
      </c>
      <c r="B68" t="s">
        <v>101</v>
      </c>
    </row>
    <row r="69" spans="1:2" x14ac:dyDescent="0.2">
      <c r="A69" s="3" t="s">
        <v>18</v>
      </c>
      <c r="B69" s="20">
        <v>112.46263744833333</v>
      </c>
    </row>
    <row r="70" spans="1:2" x14ac:dyDescent="0.2">
      <c r="A70" s="3" t="s">
        <v>63</v>
      </c>
      <c r="B70" s="20">
        <v>177.847630025</v>
      </c>
    </row>
    <row r="71" spans="1:2" x14ac:dyDescent="0.2">
      <c r="A71" s="3" t="s">
        <v>86</v>
      </c>
      <c r="B71" s="20">
        <v>200</v>
      </c>
    </row>
    <row r="72" spans="1:2" x14ac:dyDescent="0.2">
      <c r="A72" s="3" t="s">
        <v>37</v>
      </c>
      <c r="B72" s="20">
        <v>65.150428937333331</v>
      </c>
    </row>
    <row r="73" spans="1:2" x14ac:dyDescent="0.2">
      <c r="A73" s="3" t="s">
        <v>99</v>
      </c>
      <c r="B73" s="20">
        <v>103.7664121562366</v>
      </c>
    </row>
    <row r="80" spans="1:2" x14ac:dyDescent="0.2">
      <c r="A80" s="2" t="s">
        <v>98</v>
      </c>
      <c r="B80" t="s">
        <v>100</v>
      </c>
    </row>
    <row r="81" spans="1:2" x14ac:dyDescent="0.2">
      <c r="A81" s="3" t="s">
        <v>46</v>
      </c>
      <c r="B81" s="20">
        <v>8</v>
      </c>
    </row>
    <row r="82" spans="1:2" x14ac:dyDescent="0.2">
      <c r="A82" s="3" t="s">
        <v>23</v>
      </c>
      <c r="B82" s="20">
        <v>19</v>
      </c>
    </row>
    <row r="83" spans="1:2" x14ac:dyDescent="0.2">
      <c r="A83" s="3" t="s">
        <v>83</v>
      </c>
      <c r="B83" s="20">
        <v>1</v>
      </c>
    </row>
    <row r="84" spans="1:2" x14ac:dyDescent="0.2">
      <c r="A84" s="3" t="s">
        <v>24</v>
      </c>
      <c r="B84" s="20">
        <v>65</v>
      </c>
    </row>
    <row r="85" spans="1:2" x14ac:dyDescent="0.2">
      <c r="A85" s="3" t="s">
        <v>99</v>
      </c>
      <c r="B85" s="20">
        <v>93</v>
      </c>
    </row>
  </sheetData>
  <pageMargins left="0.7" right="0.7" top="0.75" bottom="0.75" header="0.3" footer="0.3"/>
  <drawing r:id="rId6"/>
  <extLst>
    <ext xmlns:x14="http://schemas.microsoft.com/office/spreadsheetml/2009/9/main" uri="{A8765BA9-456A-4dab-B4F3-ACF838C121DE}">
      <x14:slicerList>
        <x14:slicer r:id="rId7"/>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958741-E50F-4FC8-937D-69ACD119E95B}">
  <sheetPr codeName="Sheet2"/>
  <dimension ref="A1:AD225"/>
  <sheetViews>
    <sheetView showGridLines="0" tabSelected="1" zoomScale="90" zoomScaleNormal="90" workbookViewId="0">
      <selection activeCell="J15" sqref="J15"/>
    </sheetView>
  </sheetViews>
  <sheetFormatPr defaultColWidth="9.140625" defaultRowHeight="10.199999999999999" x14ac:dyDescent="0.2"/>
  <cols>
    <col min="1" max="16384" width="9.140625" style="15"/>
  </cols>
  <sheetData>
    <row r="1" spans="4:30" s="11" customFormat="1" ht="11.25" x14ac:dyDescent="0.2"/>
    <row r="2" spans="4:30" s="11" customFormat="1" ht="11.25" x14ac:dyDescent="0.2"/>
    <row r="3" spans="4:30" s="11" customFormat="1" ht="11.25" x14ac:dyDescent="0.2"/>
    <row r="4" spans="4:30" s="11" customFormat="1" ht="11.25" x14ac:dyDescent="0.2"/>
    <row r="5" spans="4:30" s="11" customFormat="1" ht="11.25" x14ac:dyDescent="0.2"/>
    <row r="6" spans="4:30" s="11" customFormat="1" ht="11.25" x14ac:dyDescent="0.2"/>
    <row r="7" spans="4:30" s="11" customFormat="1" ht="21" x14ac:dyDescent="0.35">
      <c r="I7" s="19" t="s">
        <v>102</v>
      </c>
      <c r="J7" s="19"/>
      <c r="K7" s="19"/>
      <c r="L7" s="19"/>
      <c r="M7" s="19"/>
      <c r="N7" s="19" t="s">
        <v>103</v>
      </c>
      <c r="O7" s="19"/>
      <c r="P7" s="19"/>
      <c r="Q7" s="19"/>
      <c r="R7" s="19"/>
      <c r="S7" s="19"/>
      <c r="T7" s="19" t="s">
        <v>108</v>
      </c>
      <c r="U7" s="19"/>
      <c r="V7" s="19"/>
      <c r="W7" s="19"/>
      <c r="X7" s="19"/>
      <c r="Z7" s="10" t="s">
        <v>109</v>
      </c>
      <c r="AA7" s="10"/>
      <c r="AB7" s="10"/>
      <c r="AC7" s="10"/>
      <c r="AD7" s="10"/>
    </row>
    <row r="8" spans="4:30" s="11" customFormat="1" ht="31.5" x14ac:dyDescent="0.5">
      <c r="D8" s="16"/>
      <c r="E8" s="16"/>
      <c r="F8" s="16"/>
      <c r="G8" s="16"/>
      <c r="I8" s="17"/>
      <c r="J8" s="17"/>
      <c r="K8" s="17"/>
      <c r="L8" s="17"/>
      <c r="M8" s="12"/>
      <c r="N8" s="18"/>
      <c r="O8" s="18"/>
      <c r="P8" s="18"/>
      <c r="Q8" s="18"/>
      <c r="R8" s="18"/>
      <c r="S8" s="13"/>
      <c r="T8" s="16"/>
      <c r="U8" s="16"/>
      <c r="V8" s="16"/>
      <c r="W8" s="16"/>
    </row>
    <row r="9" spans="4:30" s="11" customFormat="1" ht="11.25" x14ac:dyDescent="0.2"/>
    <row r="10" spans="4:30" s="11" customFormat="1" ht="11.25" x14ac:dyDescent="0.2"/>
    <row r="11" spans="4:30" s="11" customFormat="1" ht="11.25" x14ac:dyDescent="0.2"/>
    <row r="12" spans="4:30" s="11" customFormat="1" ht="11.25" x14ac:dyDescent="0.2"/>
    <row r="13" spans="4:30" s="11" customFormat="1" ht="11.25" x14ac:dyDescent="0.2"/>
    <row r="14" spans="4:30" s="11" customFormat="1" ht="11.25" x14ac:dyDescent="0.2"/>
    <row r="15" spans="4:30" s="11" customFormat="1" ht="11.25" x14ac:dyDescent="0.2"/>
    <row r="16" spans="4:30" s="11" customFormat="1" ht="11.25" x14ac:dyDescent="0.2"/>
    <row r="17" s="11" customFormat="1" ht="11.25" x14ac:dyDescent="0.2"/>
    <row r="18" s="11" customFormat="1" ht="11.25" x14ac:dyDescent="0.2"/>
    <row r="19" s="11" customFormat="1" ht="11.25" x14ac:dyDescent="0.2"/>
    <row r="20" s="11" customFormat="1" ht="11.25" x14ac:dyDescent="0.2"/>
    <row r="21" s="11" customFormat="1" ht="11.25" x14ac:dyDescent="0.2"/>
    <row r="22" s="11" customFormat="1" ht="11.25" x14ac:dyDescent="0.2"/>
    <row r="23" s="11" customFormat="1" ht="11.25" x14ac:dyDescent="0.2"/>
    <row r="24" s="11" customFormat="1" ht="11.25" x14ac:dyDescent="0.2"/>
    <row r="25" s="11" customFormat="1" ht="11.25" x14ac:dyDescent="0.2"/>
    <row r="26" s="11" customFormat="1" ht="11.25" x14ac:dyDescent="0.2"/>
    <row r="27" s="11" customFormat="1" ht="11.25" x14ac:dyDescent="0.2"/>
    <row r="28" s="11" customFormat="1" ht="11.25" x14ac:dyDescent="0.2"/>
    <row r="29" s="11" customFormat="1" ht="11.25" x14ac:dyDescent="0.2"/>
    <row r="30" s="11" customFormat="1" ht="11.25" x14ac:dyDescent="0.2"/>
    <row r="31" s="11" customFormat="1" ht="11.25" x14ac:dyDescent="0.2"/>
    <row r="32" s="11" customFormat="1" ht="11.25" x14ac:dyDescent="0.2"/>
    <row r="33" s="11" customFormat="1" ht="11.25" x14ac:dyDescent="0.2"/>
    <row r="34" s="11" customFormat="1" ht="11.25" x14ac:dyDescent="0.2"/>
    <row r="35" s="11" customFormat="1" ht="11.25" x14ac:dyDescent="0.2"/>
    <row r="36" s="11" customFormat="1" ht="11.25" x14ac:dyDescent="0.2"/>
    <row r="37" s="11" customFormat="1" ht="11.25" x14ac:dyDescent="0.2"/>
    <row r="38" s="11" customFormat="1" ht="11.25" x14ac:dyDescent="0.2"/>
    <row r="39" s="11" customFormat="1" ht="11.25" x14ac:dyDescent="0.2"/>
    <row r="40" s="11" customFormat="1" ht="11.25" x14ac:dyDescent="0.2"/>
    <row r="41" s="11" customFormat="1" ht="11.25" x14ac:dyDescent="0.2"/>
    <row r="42" s="11" customFormat="1" ht="11.25" x14ac:dyDescent="0.2"/>
    <row r="43" s="11" customFormat="1" ht="11.25" x14ac:dyDescent="0.2"/>
    <row r="44" s="11" customFormat="1" ht="11.25" x14ac:dyDescent="0.2"/>
    <row r="45" s="11" customFormat="1" x14ac:dyDescent="0.2"/>
    <row r="46" s="11" customFormat="1" x14ac:dyDescent="0.2"/>
    <row r="47" s="11" customFormat="1" x14ac:dyDescent="0.2"/>
    <row r="48" s="11" customFormat="1" x14ac:dyDescent="0.2"/>
    <row r="49" s="11" customFormat="1" x14ac:dyDescent="0.2"/>
    <row r="50" s="11" customFormat="1" x14ac:dyDescent="0.2"/>
    <row r="51" s="11" customFormat="1" x14ac:dyDescent="0.2"/>
    <row r="52" s="11" customFormat="1" x14ac:dyDescent="0.2"/>
    <row r="53" s="11" customFormat="1" x14ac:dyDescent="0.2"/>
    <row r="54" s="11" customFormat="1" x14ac:dyDescent="0.2"/>
    <row r="55" s="11" customFormat="1" x14ac:dyDescent="0.2"/>
    <row r="56" s="11" customFormat="1" x14ac:dyDescent="0.2"/>
    <row r="57" s="11" customFormat="1" x14ac:dyDescent="0.2"/>
    <row r="58" s="11" customFormat="1" x14ac:dyDescent="0.2"/>
    <row r="59" s="11" customFormat="1" x14ac:dyDescent="0.2"/>
    <row r="60" s="11" customFormat="1" x14ac:dyDescent="0.2"/>
    <row r="61" s="11" customFormat="1" x14ac:dyDescent="0.2"/>
    <row r="62" s="11" customFormat="1" x14ac:dyDescent="0.2"/>
    <row r="63" s="11" customFormat="1" x14ac:dyDescent="0.2"/>
    <row r="64" s="11" customFormat="1" x14ac:dyDescent="0.2"/>
    <row r="65" s="11" customFormat="1" x14ac:dyDescent="0.2"/>
    <row r="66" s="11" customFormat="1" x14ac:dyDescent="0.2"/>
    <row r="67" s="11" customFormat="1" x14ac:dyDescent="0.2"/>
    <row r="68" s="11" customFormat="1" x14ac:dyDescent="0.2"/>
    <row r="69" s="11" customFormat="1" x14ac:dyDescent="0.2"/>
    <row r="70" s="11" customFormat="1" x14ac:dyDescent="0.2"/>
    <row r="71" s="11" customFormat="1" x14ac:dyDescent="0.2"/>
    <row r="72" s="11" customFormat="1" x14ac:dyDescent="0.2"/>
    <row r="73" s="11" customFormat="1" x14ac:dyDescent="0.2"/>
    <row r="74" s="11" customFormat="1" x14ac:dyDescent="0.2"/>
    <row r="75" s="11" customFormat="1" x14ac:dyDescent="0.2"/>
    <row r="76" s="11" customFormat="1" x14ac:dyDescent="0.2"/>
    <row r="77" s="11" customFormat="1" x14ac:dyDescent="0.2"/>
    <row r="78" s="11" customFormat="1" x14ac:dyDescent="0.2"/>
    <row r="79" s="11" customFormat="1" x14ac:dyDescent="0.2"/>
    <row r="80" s="11" customFormat="1" x14ac:dyDescent="0.2"/>
    <row r="81" s="11" customFormat="1" x14ac:dyDescent="0.2"/>
    <row r="82" s="11" customFormat="1" x14ac:dyDescent="0.2"/>
    <row r="83" s="11" customFormat="1" x14ac:dyDescent="0.2"/>
    <row r="84" s="11" customFormat="1" x14ac:dyDescent="0.2"/>
    <row r="85" s="11" customFormat="1" x14ac:dyDescent="0.2"/>
    <row r="86" s="11" customFormat="1" x14ac:dyDescent="0.2"/>
    <row r="87" s="11" customFormat="1" x14ac:dyDescent="0.2"/>
    <row r="88" s="11" customFormat="1" x14ac:dyDescent="0.2"/>
    <row r="89" s="11" customFormat="1" x14ac:dyDescent="0.2"/>
    <row r="90" s="11" customFormat="1" x14ac:dyDescent="0.2"/>
    <row r="91" s="11" customFormat="1" x14ac:dyDescent="0.2"/>
    <row r="92" s="11" customFormat="1" x14ac:dyDescent="0.2"/>
    <row r="93" s="11" customFormat="1" x14ac:dyDescent="0.2"/>
    <row r="94" s="11" customFormat="1" x14ac:dyDescent="0.2"/>
    <row r="95" s="11" customFormat="1" x14ac:dyDescent="0.2"/>
    <row r="96" s="11" customFormat="1" x14ac:dyDescent="0.2"/>
    <row r="97" s="11" customFormat="1" x14ac:dyDescent="0.2"/>
    <row r="98" s="11" customFormat="1" x14ac:dyDescent="0.2"/>
    <row r="99" s="11" customFormat="1" x14ac:dyDescent="0.2"/>
    <row r="100" s="11" customFormat="1" x14ac:dyDescent="0.2"/>
    <row r="101" s="11" customFormat="1" x14ac:dyDescent="0.2"/>
    <row r="102" s="11" customFormat="1" x14ac:dyDescent="0.2"/>
    <row r="103" s="11" customFormat="1" x14ac:dyDescent="0.2"/>
    <row r="104" s="11" customFormat="1" x14ac:dyDescent="0.2"/>
    <row r="105" s="11" customFormat="1" x14ac:dyDescent="0.2"/>
    <row r="106" s="11" customFormat="1" x14ac:dyDescent="0.2"/>
    <row r="107" s="11" customFormat="1" x14ac:dyDescent="0.2"/>
    <row r="108" s="11" customFormat="1" x14ac:dyDescent="0.2"/>
    <row r="109" s="11" customFormat="1" x14ac:dyDescent="0.2"/>
    <row r="110" s="11" customFormat="1" x14ac:dyDescent="0.2"/>
    <row r="111" s="11" customFormat="1" x14ac:dyDescent="0.2"/>
    <row r="112" s="11" customFormat="1" x14ac:dyDescent="0.2"/>
    <row r="113" s="11" customFormat="1" x14ac:dyDescent="0.2"/>
    <row r="114" s="11" customFormat="1" x14ac:dyDescent="0.2"/>
    <row r="115" s="11" customFormat="1" x14ac:dyDescent="0.2"/>
    <row r="116" s="11" customFormat="1" x14ac:dyDescent="0.2"/>
    <row r="117" s="11" customFormat="1" x14ac:dyDescent="0.2"/>
    <row r="118" s="11" customFormat="1" x14ac:dyDescent="0.2"/>
    <row r="119" s="11" customFormat="1" x14ac:dyDescent="0.2"/>
    <row r="120" s="11" customFormat="1" x14ac:dyDescent="0.2"/>
    <row r="121" s="11" customFormat="1" x14ac:dyDescent="0.2"/>
    <row r="122" s="11" customFormat="1" x14ac:dyDescent="0.2"/>
    <row r="123" s="11" customFormat="1" x14ac:dyDescent="0.2"/>
    <row r="124" s="11" customFormat="1" x14ac:dyDescent="0.2"/>
    <row r="125" s="11" customFormat="1" x14ac:dyDescent="0.2"/>
    <row r="126" s="11" customFormat="1" x14ac:dyDescent="0.2"/>
    <row r="127" s="11" customFormat="1" x14ac:dyDescent="0.2"/>
    <row r="128" s="11" customFormat="1" x14ac:dyDescent="0.2"/>
    <row r="129" s="11" customFormat="1" x14ac:dyDescent="0.2"/>
    <row r="130" s="11" customFormat="1" x14ac:dyDescent="0.2"/>
    <row r="131" s="11" customFormat="1" x14ac:dyDescent="0.2"/>
    <row r="132" s="11" customFormat="1" x14ac:dyDescent="0.2"/>
    <row r="133" s="11" customFormat="1" x14ac:dyDescent="0.2"/>
    <row r="134" s="11" customFormat="1" x14ac:dyDescent="0.2"/>
    <row r="135" s="11" customFormat="1" x14ac:dyDescent="0.2"/>
    <row r="136" s="11" customFormat="1" x14ac:dyDescent="0.2"/>
    <row r="137" s="11" customFormat="1" x14ac:dyDescent="0.2"/>
    <row r="138" s="11" customFormat="1" x14ac:dyDescent="0.2"/>
    <row r="139" s="11" customFormat="1" x14ac:dyDescent="0.2"/>
    <row r="140" s="11" customFormat="1" x14ac:dyDescent="0.2"/>
    <row r="141" s="11" customFormat="1" x14ac:dyDescent="0.2"/>
    <row r="142" s="11" customFormat="1" x14ac:dyDescent="0.2"/>
    <row r="143" s="11" customFormat="1" x14ac:dyDescent="0.2"/>
    <row r="144" s="11" customFormat="1" x14ac:dyDescent="0.2"/>
    <row r="145" s="11" customFormat="1" x14ac:dyDescent="0.2"/>
    <row r="146" s="11" customFormat="1" x14ac:dyDescent="0.2"/>
    <row r="147" s="11" customFormat="1" x14ac:dyDescent="0.2"/>
    <row r="148" s="11" customFormat="1" x14ac:dyDescent="0.2"/>
    <row r="149" s="11" customFormat="1" x14ac:dyDescent="0.2"/>
    <row r="150" s="11" customFormat="1" x14ac:dyDescent="0.2"/>
    <row r="151" s="11" customFormat="1" x14ac:dyDescent="0.2"/>
    <row r="152" s="11" customFormat="1" x14ac:dyDescent="0.2"/>
    <row r="153" s="11" customFormat="1" x14ac:dyDescent="0.2"/>
    <row r="154" s="11" customFormat="1" x14ac:dyDescent="0.2"/>
    <row r="155" s="11" customFormat="1" x14ac:dyDescent="0.2"/>
    <row r="156" s="11" customFormat="1" x14ac:dyDescent="0.2"/>
    <row r="157" s="11" customFormat="1" x14ac:dyDescent="0.2"/>
    <row r="158" s="11" customFormat="1" x14ac:dyDescent="0.2"/>
    <row r="159" s="11" customFormat="1" x14ac:dyDescent="0.2"/>
    <row r="160" s="11" customFormat="1" x14ac:dyDescent="0.2"/>
    <row r="161" s="11" customFormat="1" x14ac:dyDescent="0.2"/>
    <row r="162" s="11" customFormat="1" x14ac:dyDescent="0.2"/>
    <row r="163" s="11" customFormat="1" x14ac:dyDescent="0.2"/>
    <row r="164" s="11" customFormat="1" x14ac:dyDescent="0.2"/>
    <row r="165" s="11" customFormat="1" x14ac:dyDescent="0.2"/>
    <row r="166" s="11" customFormat="1" x14ac:dyDescent="0.2"/>
    <row r="167" s="11" customFormat="1" x14ac:dyDescent="0.2"/>
    <row r="168" s="11" customFormat="1" x14ac:dyDescent="0.2"/>
    <row r="169" s="11" customFormat="1" x14ac:dyDescent="0.2"/>
    <row r="170" s="11" customFormat="1" x14ac:dyDescent="0.2"/>
    <row r="171" s="11" customFormat="1" x14ac:dyDescent="0.2"/>
    <row r="172" s="11" customFormat="1" x14ac:dyDescent="0.2"/>
    <row r="173" s="11" customFormat="1" x14ac:dyDescent="0.2"/>
    <row r="174" s="11" customFormat="1" x14ac:dyDescent="0.2"/>
    <row r="175" s="11" customFormat="1" x14ac:dyDescent="0.2"/>
    <row r="176" s="11" customFormat="1" x14ac:dyDescent="0.2"/>
    <row r="177" s="11" customFormat="1" x14ac:dyDescent="0.2"/>
    <row r="178" s="11" customFormat="1" x14ac:dyDescent="0.2"/>
    <row r="179" s="11" customFormat="1" x14ac:dyDescent="0.2"/>
    <row r="180" s="11" customFormat="1" x14ac:dyDescent="0.2"/>
    <row r="181" s="11" customFormat="1" x14ac:dyDescent="0.2"/>
    <row r="182" s="11" customFormat="1" x14ac:dyDescent="0.2"/>
    <row r="183" s="11" customFormat="1" x14ac:dyDescent="0.2"/>
    <row r="184" s="11" customFormat="1" x14ac:dyDescent="0.2"/>
    <row r="185" s="11" customFormat="1" x14ac:dyDescent="0.2"/>
    <row r="186" s="11" customFormat="1" x14ac:dyDescent="0.2"/>
    <row r="187" s="11" customFormat="1" x14ac:dyDescent="0.2"/>
    <row r="188" s="11" customFormat="1" x14ac:dyDescent="0.2"/>
    <row r="189" s="11" customFormat="1" x14ac:dyDescent="0.2"/>
    <row r="190" s="11" customFormat="1" x14ac:dyDescent="0.2"/>
    <row r="191" s="11" customFormat="1" x14ac:dyDescent="0.2"/>
    <row r="192" s="11" customFormat="1" x14ac:dyDescent="0.2"/>
    <row r="193" s="11" customFormat="1" x14ac:dyDescent="0.2"/>
    <row r="194" s="11" customFormat="1" x14ac:dyDescent="0.2"/>
    <row r="195" s="11" customFormat="1" x14ac:dyDescent="0.2"/>
    <row r="196" s="11" customFormat="1" x14ac:dyDescent="0.2"/>
    <row r="197" s="11" customFormat="1" x14ac:dyDescent="0.2"/>
    <row r="198" s="11" customFormat="1" x14ac:dyDescent="0.2"/>
    <row r="199" s="11" customFormat="1" x14ac:dyDescent="0.2"/>
    <row r="200" s="11" customFormat="1" x14ac:dyDescent="0.2"/>
    <row r="201" s="11" customFormat="1" x14ac:dyDescent="0.2"/>
    <row r="202" s="11" customFormat="1" x14ac:dyDescent="0.2"/>
    <row r="203" s="11" customFormat="1" x14ac:dyDescent="0.2"/>
    <row r="204" s="11" customFormat="1" x14ac:dyDescent="0.2"/>
    <row r="205" s="11" customFormat="1" x14ac:dyDescent="0.2"/>
    <row r="206" s="11" customFormat="1" x14ac:dyDescent="0.2"/>
    <row r="207" s="11" customFormat="1" x14ac:dyDescent="0.2"/>
    <row r="208" s="11" customFormat="1" x14ac:dyDescent="0.2"/>
    <row r="209" s="11" customFormat="1" x14ac:dyDescent="0.2"/>
    <row r="210" s="11" customFormat="1" x14ac:dyDescent="0.2"/>
    <row r="211" s="11" customFormat="1" x14ac:dyDescent="0.2"/>
    <row r="212" s="11" customFormat="1" x14ac:dyDescent="0.2"/>
    <row r="213" s="11" customFormat="1" x14ac:dyDescent="0.2"/>
    <row r="214" s="11" customFormat="1" x14ac:dyDescent="0.2"/>
    <row r="215" s="11" customFormat="1" x14ac:dyDescent="0.2"/>
    <row r="216" s="11" customFormat="1" x14ac:dyDescent="0.2"/>
    <row r="217" s="11" customFormat="1" x14ac:dyDescent="0.2"/>
    <row r="218" s="11" customFormat="1" x14ac:dyDescent="0.2"/>
    <row r="219" s="11" customFormat="1" x14ac:dyDescent="0.2"/>
    <row r="220" s="11" customFormat="1" x14ac:dyDescent="0.2"/>
    <row r="221" s="11" customFormat="1" x14ac:dyDescent="0.2"/>
    <row r="222" s="11" customFormat="1" x14ac:dyDescent="0.2"/>
    <row r="223" s="11" customFormat="1" x14ac:dyDescent="0.2"/>
    <row r="224" s="11" customFormat="1" x14ac:dyDescent="0.2"/>
    <row r="225" spans="1:4" s="11" customFormat="1" x14ac:dyDescent="0.2">
      <c r="A225" s="11">
        <f>COUNTA(Sheet1!E:E)</f>
        <v>94</v>
      </c>
      <c r="B225" s="11">
        <f>MAX(Sheet1!E:E)</f>
        <v>254</v>
      </c>
      <c r="C225" s="14">
        <f>AVERAGE(Sheet1!G:G)</f>
        <v>103.76641215623657</v>
      </c>
      <c r="D225" s="11">
        <f>COUNTIF(Sheet1!P:P,"Yes")</f>
        <v>53</v>
      </c>
    </row>
  </sheetData>
  <mergeCells count="7">
    <mergeCell ref="D8:G8"/>
    <mergeCell ref="I8:L8"/>
    <mergeCell ref="N8:R8"/>
    <mergeCell ref="T8:W8"/>
    <mergeCell ref="T7:X7"/>
    <mergeCell ref="N7:S7"/>
    <mergeCell ref="I7:M7"/>
  </mergeCells>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A64864-73F5-4353-AA5E-60180B51E8A4}">
  <sheetPr codeName="Sheet3"/>
  <dimension ref="A1:R94"/>
  <sheetViews>
    <sheetView workbookViewId="0">
      <selection activeCell="A61" sqref="A61"/>
    </sheetView>
  </sheetViews>
  <sheetFormatPr defaultRowHeight="10.199999999999999" x14ac:dyDescent="0.2"/>
  <cols>
    <col min="1" max="1" width="15" bestFit="1" customWidth="1"/>
    <col min="2" max="2" width="13.42578125" bestFit="1" customWidth="1"/>
    <col min="3" max="3" width="12.28515625" bestFit="1" customWidth="1"/>
    <col min="4" max="4" width="14.85546875" bestFit="1" customWidth="1"/>
    <col min="5" max="5" width="11.42578125" bestFit="1" customWidth="1"/>
    <col min="6" max="6" width="10.28515625" bestFit="1" customWidth="1"/>
    <col min="7" max="7" width="20.7109375" bestFit="1" customWidth="1"/>
    <col min="8" max="8" width="33.42578125" bestFit="1" customWidth="1"/>
    <col min="9" max="9" width="30" bestFit="1" customWidth="1"/>
    <col min="10" max="10" width="20" bestFit="1" customWidth="1"/>
    <col min="11" max="11" width="24.28515625" bestFit="1" customWidth="1"/>
    <col min="12" max="12" width="15.28515625" bestFit="1" customWidth="1"/>
    <col min="13" max="13" width="19.140625" bestFit="1" customWidth="1"/>
    <col min="14" max="14" width="12.42578125" customWidth="1"/>
    <col min="15" max="15" width="14.42578125" bestFit="1" customWidth="1"/>
    <col min="16" max="16" width="13.140625" bestFit="1" customWidth="1"/>
    <col min="17" max="17" width="10" bestFit="1" customWidth="1"/>
    <col min="18" max="18" width="13.85546875" bestFit="1" customWidth="1"/>
  </cols>
  <sheetData>
    <row r="1" spans="1:18" ht="18.75" x14ac:dyDescent="0.3">
      <c r="A1" s="1" t="s">
        <v>0</v>
      </c>
      <c r="B1" s="1" t="s">
        <v>1</v>
      </c>
      <c r="C1" s="1" t="s">
        <v>2</v>
      </c>
      <c r="D1" s="1" t="s">
        <v>3</v>
      </c>
      <c r="E1" s="1" t="s">
        <v>4</v>
      </c>
      <c r="F1" s="1" t="s">
        <v>5</v>
      </c>
      <c r="G1" s="5" t="s">
        <v>6</v>
      </c>
      <c r="H1" s="1" t="s">
        <v>7</v>
      </c>
      <c r="I1" s="1" t="s">
        <v>8</v>
      </c>
      <c r="J1" s="1" t="s">
        <v>9</v>
      </c>
      <c r="K1" s="1" t="s">
        <v>10</v>
      </c>
      <c r="L1" s="4" t="s">
        <v>11</v>
      </c>
      <c r="M1" s="1" t="s">
        <v>12</v>
      </c>
      <c r="N1" s="1" t="s">
        <v>13</v>
      </c>
      <c r="O1" s="1" t="s">
        <v>14</v>
      </c>
      <c r="P1" s="1" t="s">
        <v>15</v>
      </c>
      <c r="Q1" s="1" t="s">
        <v>16</v>
      </c>
      <c r="R1" s="1" t="s">
        <v>17</v>
      </c>
    </row>
    <row r="2" spans="1:18" ht="16.5" thickBot="1" x14ac:dyDescent="0.25">
      <c r="A2" s="8">
        <v>1</v>
      </c>
      <c r="B2" s="8" t="s">
        <v>18</v>
      </c>
      <c r="C2" s="8">
        <v>2</v>
      </c>
      <c r="D2" s="8">
        <v>4</v>
      </c>
      <c r="E2" s="8">
        <v>107</v>
      </c>
      <c r="F2" s="8">
        <v>114</v>
      </c>
      <c r="G2" s="9">
        <v>93.85964912</v>
      </c>
      <c r="H2" s="8" t="s">
        <v>19</v>
      </c>
      <c r="I2" s="8" t="s">
        <v>20</v>
      </c>
      <c r="J2" s="8" t="s">
        <v>21</v>
      </c>
      <c r="K2" s="8" t="s">
        <v>22</v>
      </c>
      <c r="L2" s="6">
        <v>40171</v>
      </c>
      <c r="M2" s="8">
        <v>316</v>
      </c>
      <c r="N2" s="8">
        <v>3</v>
      </c>
      <c r="O2" s="8" t="s">
        <v>23</v>
      </c>
      <c r="P2" s="8" t="s">
        <v>23</v>
      </c>
      <c r="Q2" s="8" t="s">
        <v>24</v>
      </c>
      <c r="R2" s="8" t="s">
        <v>23</v>
      </c>
    </row>
    <row r="3" spans="1:18" ht="16.5" thickBot="1" x14ac:dyDescent="0.25">
      <c r="A3" s="8">
        <v>2</v>
      </c>
      <c r="B3" s="8" t="s">
        <v>18</v>
      </c>
      <c r="C3" s="8">
        <v>2</v>
      </c>
      <c r="D3" s="8">
        <v>3</v>
      </c>
      <c r="E3" s="8">
        <v>102</v>
      </c>
      <c r="F3" s="8">
        <v>95</v>
      </c>
      <c r="G3" s="9">
        <v>107.36842110000001</v>
      </c>
      <c r="H3" s="8" t="s">
        <v>25</v>
      </c>
      <c r="I3" s="8" t="s">
        <v>26</v>
      </c>
      <c r="J3" s="8" t="s">
        <v>25</v>
      </c>
      <c r="K3" s="8" t="s">
        <v>27</v>
      </c>
      <c r="L3" s="7">
        <v>40189</v>
      </c>
      <c r="M3" s="8">
        <v>249</v>
      </c>
      <c r="N3" s="8">
        <v>4</v>
      </c>
      <c r="O3" s="8" t="s">
        <v>24</v>
      </c>
      <c r="P3" s="8" t="s">
        <v>24</v>
      </c>
      <c r="Q3" s="8" t="s">
        <v>24</v>
      </c>
      <c r="R3" s="8" t="s">
        <v>23</v>
      </c>
    </row>
    <row r="4" spans="1:18" ht="16.5" thickBot="1" x14ac:dyDescent="0.25">
      <c r="A4" s="8">
        <v>3</v>
      </c>
      <c r="B4" s="8" t="s">
        <v>18</v>
      </c>
      <c r="C4" s="8">
        <v>2</v>
      </c>
      <c r="D4" s="8">
        <v>3</v>
      </c>
      <c r="E4" s="8">
        <v>118</v>
      </c>
      <c r="F4" s="8">
        <v>121</v>
      </c>
      <c r="G4" s="9">
        <v>97.520661160000003</v>
      </c>
      <c r="H4" s="8" t="s">
        <v>28</v>
      </c>
      <c r="I4" s="8" t="s">
        <v>29</v>
      </c>
      <c r="J4" s="8" t="s">
        <v>21</v>
      </c>
      <c r="K4" s="8" t="s">
        <v>22</v>
      </c>
      <c r="L4" s="6">
        <v>40471</v>
      </c>
      <c r="M4" s="8">
        <v>292</v>
      </c>
      <c r="N4" s="8">
        <v>5</v>
      </c>
      <c r="O4" s="8" t="s">
        <v>23</v>
      </c>
      <c r="P4" s="8" t="s">
        <v>24</v>
      </c>
      <c r="Q4" s="8" t="s">
        <v>24</v>
      </c>
      <c r="R4" s="8" t="s">
        <v>23</v>
      </c>
    </row>
    <row r="5" spans="1:18" ht="16.5" thickBot="1" x14ac:dyDescent="0.25">
      <c r="A5" s="8">
        <v>4</v>
      </c>
      <c r="B5" s="8" t="s">
        <v>18</v>
      </c>
      <c r="C5" s="8">
        <v>1</v>
      </c>
      <c r="D5" s="8">
        <v>3</v>
      </c>
      <c r="E5" s="8">
        <v>105</v>
      </c>
      <c r="F5" s="8">
        <v>104</v>
      </c>
      <c r="G5" s="9">
        <v>100.9615385</v>
      </c>
      <c r="H5" s="8" t="s">
        <v>30</v>
      </c>
      <c r="I5" s="8" t="s">
        <v>31</v>
      </c>
      <c r="J5" s="8" t="s">
        <v>21</v>
      </c>
      <c r="K5" s="8" t="s">
        <v>22</v>
      </c>
      <c r="L5" s="7">
        <v>40510</v>
      </c>
      <c r="M5" s="8">
        <v>276</v>
      </c>
      <c r="N5" s="8">
        <v>10</v>
      </c>
      <c r="O5" s="8" t="s">
        <v>23</v>
      </c>
      <c r="P5" s="8" t="s">
        <v>24</v>
      </c>
      <c r="Q5" s="8" t="s">
        <v>24</v>
      </c>
      <c r="R5" s="8" t="s">
        <v>23</v>
      </c>
    </row>
    <row r="6" spans="1:18" ht="16.5" thickBot="1" x14ac:dyDescent="0.25">
      <c r="A6" s="8">
        <v>5</v>
      </c>
      <c r="B6" s="8" t="s">
        <v>18</v>
      </c>
      <c r="C6" s="8">
        <v>1</v>
      </c>
      <c r="D6" s="8">
        <v>4</v>
      </c>
      <c r="E6" s="8">
        <v>100</v>
      </c>
      <c r="F6" s="8">
        <v>83</v>
      </c>
      <c r="G6" s="9">
        <v>120.4819277</v>
      </c>
      <c r="H6" s="8" t="s">
        <v>25</v>
      </c>
      <c r="I6" s="8" t="s">
        <v>26</v>
      </c>
      <c r="J6" s="8" t="s">
        <v>25</v>
      </c>
      <c r="K6" s="8" t="s">
        <v>32</v>
      </c>
      <c r="L6" s="6">
        <v>40593</v>
      </c>
      <c r="M6" s="8">
        <v>370</v>
      </c>
      <c r="N6" s="8">
        <v>4</v>
      </c>
      <c r="O6" s="8" t="s">
        <v>24</v>
      </c>
      <c r="P6" s="8" t="s">
        <v>23</v>
      </c>
      <c r="Q6" s="8" t="s">
        <v>24</v>
      </c>
      <c r="R6" s="8" t="s">
        <v>23</v>
      </c>
    </row>
    <row r="7" spans="1:18" ht="16.5" thickBot="1" x14ac:dyDescent="0.25">
      <c r="A7" s="8">
        <v>6</v>
      </c>
      <c r="B7" s="8" t="s">
        <v>18</v>
      </c>
      <c r="C7" s="8">
        <v>1</v>
      </c>
      <c r="D7" s="8">
        <v>4</v>
      </c>
      <c r="E7" s="8">
        <v>107</v>
      </c>
      <c r="F7" s="8">
        <v>93</v>
      </c>
      <c r="G7" s="9">
        <v>115.05376339999999</v>
      </c>
      <c r="H7" s="8" t="s">
        <v>33</v>
      </c>
      <c r="I7" s="8" t="s">
        <v>34</v>
      </c>
      <c r="J7" s="8" t="s">
        <v>33</v>
      </c>
      <c r="K7" s="8" t="s">
        <v>22</v>
      </c>
      <c r="L7" s="7">
        <v>40802</v>
      </c>
      <c r="M7" s="8">
        <v>304</v>
      </c>
      <c r="N7" s="8">
        <v>6</v>
      </c>
      <c r="O7" s="8" t="s">
        <v>23</v>
      </c>
      <c r="P7" s="8" t="s">
        <v>23</v>
      </c>
      <c r="Q7" s="8" t="s">
        <v>23</v>
      </c>
      <c r="R7" s="8" t="s">
        <v>23</v>
      </c>
    </row>
    <row r="8" spans="1:18" ht="16.5" thickBot="1" x14ac:dyDescent="0.25">
      <c r="A8" s="8">
        <v>7</v>
      </c>
      <c r="B8" s="8" t="s">
        <v>18</v>
      </c>
      <c r="C8" s="8">
        <v>2</v>
      </c>
      <c r="D8" s="8">
        <v>4</v>
      </c>
      <c r="E8" s="8">
        <v>112</v>
      </c>
      <c r="F8" s="8">
        <v>98</v>
      </c>
      <c r="G8" s="9">
        <v>114.2857143</v>
      </c>
      <c r="H8" s="8" t="s">
        <v>33</v>
      </c>
      <c r="I8" s="8" t="s">
        <v>35</v>
      </c>
      <c r="J8" s="8" t="s">
        <v>21</v>
      </c>
      <c r="K8" s="8" t="s">
        <v>22</v>
      </c>
      <c r="L8" s="6">
        <v>40833</v>
      </c>
      <c r="M8" s="8">
        <v>238</v>
      </c>
      <c r="N8" s="8">
        <v>2</v>
      </c>
      <c r="O8" s="8" t="s">
        <v>24</v>
      </c>
      <c r="P8" s="8" t="s">
        <v>24</v>
      </c>
      <c r="Q8" s="8" t="s">
        <v>24</v>
      </c>
      <c r="R8" s="8" t="s">
        <v>23</v>
      </c>
    </row>
    <row r="9" spans="1:18" ht="16.5" thickBot="1" x14ac:dyDescent="0.25">
      <c r="A9" s="8">
        <v>8</v>
      </c>
      <c r="B9" s="8" t="s">
        <v>18</v>
      </c>
      <c r="C9" s="8">
        <v>2</v>
      </c>
      <c r="D9" s="8">
        <v>4</v>
      </c>
      <c r="E9" s="8">
        <v>117</v>
      </c>
      <c r="F9" s="8">
        <v>123</v>
      </c>
      <c r="G9" s="9">
        <v>95.12195122</v>
      </c>
      <c r="H9" s="8" t="s">
        <v>36</v>
      </c>
      <c r="I9" s="8" t="s">
        <v>29</v>
      </c>
      <c r="J9" s="8" t="s">
        <v>21</v>
      </c>
      <c r="K9" s="8" t="s">
        <v>22</v>
      </c>
      <c r="L9" s="7">
        <v>40879</v>
      </c>
      <c r="M9" s="8">
        <v>270</v>
      </c>
      <c r="N9" s="8">
        <v>5</v>
      </c>
      <c r="O9" s="8" t="s">
        <v>23</v>
      </c>
      <c r="P9" s="8" t="s">
        <v>24</v>
      </c>
      <c r="Q9" s="8" t="s">
        <v>24</v>
      </c>
      <c r="R9" s="8" t="s">
        <v>23</v>
      </c>
    </row>
    <row r="10" spans="1:18" ht="16.5" thickBot="1" x14ac:dyDescent="0.25">
      <c r="A10" s="8">
        <v>9</v>
      </c>
      <c r="B10" s="8" t="s">
        <v>37</v>
      </c>
      <c r="C10" s="8">
        <v>2</v>
      </c>
      <c r="D10" s="8">
        <v>6</v>
      </c>
      <c r="E10" s="8">
        <v>116</v>
      </c>
      <c r="F10" s="8">
        <v>213</v>
      </c>
      <c r="G10" s="9">
        <v>54.460093899999997</v>
      </c>
      <c r="H10" s="8" t="s">
        <v>28</v>
      </c>
      <c r="I10" s="8" t="s">
        <v>38</v>
      </c>
      <c r="J10" s="8" t="s">
        <v>28</v>
      </c>
      <c r="K10" s="8" t="s">
        <v>22</v>
      </c>
      <c r="L10" s="6">
        <v>40932</v>
      </c>
      <c r="M10" s="8">
        <v>272</v>
      </c>
      <c r="N10" s="8">
        <v>10</v>
      </c>
      <c r="O10" s="8" t="s">
        <v>23</v>
      </c>
      <c r="P10" s="8" t="s">
        <v>23</v>
      </c>
      <c r="Q10" s="8" t="s">
        <v>23</v>
      </c>
      <c r="R10" s="8" t="s">
        <v>23</v>
      </c>
    </row>
    <row r="11" spans="1:18" ht="16.5" thickBot="1" x14ac:dyDescent="0.25">
      <c r="A11" s="8">
        <v>10</v>
      </c>
      <c r="B11" s="8" t="s">
        <v>18</v>
      </c>
      <c r="C11" s="8">
        <v>2</v>
      </c>
      <c r="D11" s="8">
        <v>4</v>
      </c>
      <c r="E11" s="8">
        <v>133</v>
      </c>
      <c r="F11" s="8">
        <v>86</v>
      </c>
      <c r="G11" s="9">
        <v>154.65116280000001</v>
      </c>
      <c r="H11" s="8" t="s">
        <v>19</v>
      </c>
      <c r="I11" s="8" t="s">
        <v>39</v>
      </c>
      <c r="J11" s="8" t="s">
        <v>28</v>
      </c>
      <c r="K11" s="8" t="s">
        <v>27</v>
      </c>
      <c r="L11" s="7">
        <v>40967</v>
      </c>
      <c r="M11" s="8">
        <v>320</v>
      </c>
      <c r="N11" s="8">
        <v>4</v>
      </c>
      <c r="O11" s="8" t="s">
        <v>24</v>
      </c>
      <c r="P11" s="8" t="s">
        <v>24</v>
      </c>
      <c r="Q11" s="8" t="s">
        <v>24</v>
      </c>
      <c r="R11" s="8" t="s">
        <v>23</v>
      </c>
    </row>
    <row r="12" spans="1:18" ht="16.5" thickBot="1" x14ac:dyDescent="0.25">
      <c r="A12" s="8">
        <v>11</v>
      </c>
      <c r="B12" s="8" t="s">
        <v>18</v>
      </c>
      <c r="C12" s="8">
        <v>1</v>
      </c>
      <c r="D12" s="8">
        <v>3</v>
      </c>
      <c r="E12" s="8">
        <v>108</v>
      </c>
      <c r="F12" s="8">
        <v>120</v>
      </c>
      <c r="G12" s="9">
        <v>90</v>
      </c>
      <c r="H12" s="8" t="s">
        <v>19</v>
      </c>
      <c r="I12" s="8" t="s">
        <v>26</v>
      </c>
      <c r="J12" s="8" t="s">
        <v>25</v>
      </c>
      <c r="K12" s="8" t="s">
        <v>40</v>
      </c>
      <c r="L12" s="6">
        <v>40981</v>
      </c>
      <c r="M12" s="8">
        <v>304</v>
      </c>
      <c r="N12" s="8">
        <v>3</v>
      </c>
      <c r="O12" s="8" t="s">
        <v>23</v>
      </c>
      <c r="P12" s="8" t="s">
        <v>24</v>
      </c>
      <c r="Q12" s="8" t="s">
        <v>24</v>
      </c>
      <c r="R12" s="8" t="s">
        <v>23</v>
      </c>
    </row>
    <row r="13" spans="1:18" ht="16.5" thickBot="1" x14ac:dyDescent="0.25">
      <c r="A13" s="8">
        <v>12</v>
      </c>
      <c r="B13" s="8" t="s">
        <v>18</v>
      </c>
      <c r="C13" s="8">
        <v>2</v>
      </c>
      <c r="D13" s="8">
        <v>3</v>
      </c>
      <c r="E13" s="8">
        <v>183</v>
      </c>
      <c r="F13" s="8">
        <v>148</v>
      </c>
      <c r="G13" s="9">
        <v>123.6486486</v>
      </c>
      <c r="H13" s="8" t="s">
        <v>41</v>
      </c>
      <c r="I13" s="8" t="s">
        <v>26</v>
      </c>
      <c r="J13" s="8" t="s">
        <v>25</v>
      </c>
      <c r="K13" s="8" t="s">
        <v>40</v>
      </c>
      <c r="L13" s="7">
        <v>40986</v>
      </c>
      <c r="M13" s="8">
        <v>330</v>
      </c>
      <c r="N13" s="8">
        <v>4</v>
      </c>
      <c r="O13" s="8" t="s">
        <v>23</v>
      </c>
      <c r="P13" s="8" t="s">
        <v>24</v>
      </c>
      <c r="Q13" s="8" t="s">
        <v>24</v>
      </c>
      <c r="R13" s="8" t="s">
        <v>23</v>
      </c>
    </row>
    <row r="14" spans="1:18" ht="16.5" thickBot="1" x14ac:dyDescent="0.25">
      <c r="A14" s="8">
        <v>13</v>
      </c>
      <c r="B14" s="8" t="s">
        <v>18</v>
      </c>
      <c r="C14" s="8">
        <v>1</v>
      </c>
      <c r="D14" s="8">
        <v>3</v>
      </c>
      <c r="E14" s="8">
        <v>106</v>
      </c>
      <c r="F14" s="8">
        <v>113</v>
      </c>
      <c r="G14" s="9">
        <v>93.805309730000005</v>
      </c>
      <c r="H14" s="8" t="s">
        <v>19</v>
      </c>
      <c r="I14" s="8" t="s">
        <v>42</v>
      </c>
      <c r="J14" s="8" t="s">
        <v>19</v>
      </c>
      <c r="K14" s="8" t="s">
        <v>22</v>
      </c>
      <c r="L14" s="6">
        <v>41111</v>
      </c>
      <c r="M14" s="8">
        <v>314</v>
      </c>
      <c r="N14" s="8">
        <v>6</v>
      </c>
      <c r="O14" s="8" t="s">
        <v>23</v>
      </c>
      <c r="P14" s="8" t="s">
        <v>24</v>
      </c>
      <c r="Q14" s="8" t="s">
        <v>24</v>
      </c>
      <c r="R14" s="8" t="s">
        <v>23</v>
      </c>
    </row>
    <row r="15" spans="1:18" ht="16.5" thickBot="1" x14ac:dyDescent="0.25">
      <c r="A15" s="8">
        <v>14</v>
      </c>
      <c r="B15" s="8" t="s">
        <v>18</v>
      </c>
      <c r="C15" s="8">
        <v>2</v>
      </c>
      <c r="D15" s="8">
        <v>3</v>
      </c>
      <c r="E15" s="8">
        <v>128</v>
      </c>
      <c r="F15" s="8">
        <v>119</v>
      </c>
      <c r="G15" s="9">
        <v>107.5630252</v>
      </c>
      <c r="H15" s="8" t="s">
        <v>19</v>
      </c>
      <c r="I15" s="8" t="s">
        <v>43</v>
      </c>
      <c r="J15" s="8" t="s">
        <v>19</v>
      </c>
      <c r="K15" s="8" t="s">
        <v>22</v>
      </c>
      <c r="L15" s="7">
        <v>41121</v>
      </c>
      <c r="M15" s="8">
        <v>255</v>
      </c>
      <c r="N15" s="8">
        <v>4</v>
      </c>
      <c r="O15" s="8" t="s">
        <v>24</v>
      </c>
      <c r="P15" s="8" t="s">
        <v>24</v>
      </c>
      <c r="Q15" s="8" t="s">
        <v>24</v>
      </c>
      <c r="R15" s="8" t="s">
        <v>23</v>
      </c>
    </row>
    <row r="16" spans="1:18" ht="16.5" thickBot="1" x14ac:dyDescent="0.25">
      <c r="A16" s="8">
        <v>15</v>
      </c>
      <c r="B16" s="8" t="s">
        <v>37</v>
      </c>
      <c r="C16" s="8">
        <v>2</v>
      </c>
      <c r="D16" s="8">
        <v>5</v>
      </c>
      <c r="E16" s="8">
        <v>103</v>
      </c>
      <c r="F16" s="8">
        <v>193</v>
      </c>
      <c r="G16" s="9">
        <v>53.367875650000002</v>
      </c>
      <c r="H16" s="8" t="s">
        <v>30</v>
      </c>
      <c r="I16" s="8" t="s">
        <v>44</v>
      </c>
      <c r="J16" s="8" t="s">
        <v>21</v>
      </c>
      <c r="K16" s="8" t="s">
        <v>22</v>
      </c>
      <c r="L16" s="6">
        <v>41152</v>
      </c>
      <c r="M16" s="8">
        <v>353</v>
      </c>
      <c r="N16" s="8">
        <v>10</v>
      </c>
      <c r="O16" s="8" t="s">
        <v>23</v>
      </c>
      <c r="P16" s="8" t="s">
        <v>24</v>
      </c>
      <c r="Q16" s="8" t="s">
        <v>24</v>
      </c>
      <c r="R16" s="8" t="s">
        <v>23</v>
      </c>
    </row>
    <row r="17" spans="1:18" ht="16.5" thickBot="1" x14ac:dyDescent="0.25">
      <c r="A17" s="8">
        <v>16</v>
      </c>
      <c r="B17" s="8" t="s">
        <v>37</v>
      </c>
      <c r="C17" s="8">
        <v>2</v>
      </c>
      <c r="D17" s="8">
        <v>5</v>
      </c>
      <c r="E17" s="8">
        <v>103</v>
      </c>
      <c r="F17" s="8">
        <v>295</v>
      </c>
      <c r="G17" s="9">
        <v>34.915254240000003</v>
      </c>
      <c r="H17" s="8" t="s">
        <v>33</v>
      </c>
      <c r="I17" s="8" t="s">
        <v>45</v>
      </c>
      <c r="J17" s="8" t="s">
        <v>21</v>
      </c>
      <c r="K17" s="8" t="s">
        <v>22</v>
      </c>
      <c r="L17" s="7">
        <v>41256</v>
      </c>
      <c r="M17" s="8">
        <v>326</v>
      </c>
      <c r="N17" s="8">
        <v>9</v>
      </c>
      <c r="O17" s="8" t="s">
        <v>23</v>
      </c>
      <c r="P17" s="8" t="s">
        <v>23</v>
      </c>
      <c r="Q17" s="8" t="s">
        <v>46</v>
      </c>
      <c r="R17" s="8" t="s">
        <v>23</v>
      </c>
    </row>
    <row r="18" spans="1:18" ht="16.5" thickBot="1" x14ac:dyDescent="0.25">
      <c r="A18" s="8">
        <v>17</v>
      </c>
      <c r="B18" s="8" t="s">
        <v>37</v>
      </c>
      <c r="C18" s="8">
        <v>2</v>
      </c>
      <c r="D18" s="8">
        <v>5</v>
      </c>
      <c r="E18" s="8">
        <v>107</v>
      </c>
      <c r="F18" s="8">
        <v>206</v>
      </c>
      <c r="G18" s="9">
        <v>51.941747569999997</v>
      </c>
      <c r="H18" s="8" t="s">
        <v>28</v>
      </c>
      <c r="I18" s="8" t="s">
        <v>47</v>
      </c>
      <c r="J18" s="8" t="s">
        <v>21</v>
      </c>
      <c r="K18" s="8" t="s">
        <v>22</v>
      </c>
      <c r="L18" s="6">
        <v>41327</v>
      </c>
      <c r="M18" s="8">
        <v>572</v>
      </c>
      <c r="N18" s="8">
        <v>10</v>
      </c>
      <c r="O18" s="8" t="s">
        <v>23</v>
      </c>
      <c r="P18" s="8" t="s">
        <v>23</v>
      </c>
      <c r="Q18" s="8" t="s">
        <v>24</v>
      </c>
      <c r="R18" s="8" t="s">
        <v>23</v>
      </c>
    </row>
    <row r="19" spans="1:18" ht="16.5" thickBot="1" x14ac:dyDescent="0.25">
      <c r="A19" s="8">
        <v>18</v>
      </c>
      <c r="B19" s="8" t="s">
        <v>18</v>
      </c>
      <c r="C19" s="8">
        <v>1</v>
      </c>
      <c r="D19" s="8">
        <v>3</v>
      </c>
      <c r="E19" s="8">
        <v>102</v>
      </c>
      <c r="F19" s="8">
        <v>83</v>
      </c>
      <c r="G19" s="9">
        <v>122.89156629999999</v>
      </c>
      <c r="H19" s="8" t="s">
        <v>36</v>
      </c>
      <c r="I19" s="8" t="s">
        <v>48</v>
      </c>
      <c r="J19" s="8" t="s">
        <v>36</v>
      </c>
      <c r="K19" s="8" t="s">
        <v>27</v>
      </c>
      <c r="L19" s="7">
        <v>41460</v>
      </c>
      <c r="M19" s="8">
        <v>311</v>
      </c>
      <c r="N19" s="8">
        <v>7</v>
      </c>
      <c r="O19" s="8" t="s">
        <v>23</v>
      </c>
      <c r="P19" s="8" t="s">
        <v>24</v>
      </c>
      <c r="Q19" s="8" t="s">
        <v>24</v>
      </c>
      <c r="R19" s="8" t="s">
        <v>24</v>
      </c>
    </row>
    <row r="20" spans="1:18" ht="16.5" thickBot="1" x14ac:dyDescent="0.25">
      <c r="A20" s="8">
        <v>19</v>
      </c>
      <c r="B20" s="8" t="s">
        <v>18</v>
      </c>
      <c r="C20" s="8">
        <v>2</v>
      </c>
      <c r="D20" s="8">
        <v>3</v>
      </c>
      <c r="E20" s="8">
        <v>115</v>
      </c>
      <c r="F20" s="8">
        <v>108</v>
      </c>
      <c r="G20" s="9">
        <v>106.4814815</v>
      </c>
      <c r="H20" s="8" t="s">
        <v>49</v>
      </c>
      <c r="I20" s="8" t="s">
        <v>50</v>
      </c>
      <c r="J20" s="8" t="s">
        <v>49</v>
      </c>
      <c r="K20" s="8" t="s">
        <v>22</v>
      </c>
      <c r="L20" s="6">
        <v>41479</v>
      </c>
      <c r="M20" s="8">
        <v>230</v>
      </c>
      <c r="N20" s="8">
        <v>4</v>
      </c>
      <c r="O20" s="8" t="s">
        <v>23</v>
      </c>
      <c r="P20" s="8" t="s">
        <v>24</v>
      </c>
      <c r="Q20" s="8" t="s">
        <v>24</v>
      </c>
      <c r="R20" s="8" t="s">
        <v>24</v>
      </c>
    </row>
    <row r="21" spans="1:18" ht="16.5" thickBot="1" x14ac:dyDescent="0.25">
      <c r="A21" s="8">
        <v>20</v>
      </c>
      <c r="B21" s="8" t="s">
        <v>18</v>
      </c>
      <c r="C21" s="8">
        <v>2</v>
      </c>
      <c r="D21" s="8">
        <v>3</v>
      </c>
      <c r="E21" s="8">
        <v>100</v>
      </c>
      <c r="F21" s="8">
        <v>52</v>
      </c>
      <c r="G21" s="9">
        <v>192.30769230000001</v>
      </c>
      <c r="H21" s="8" t="s">
        <v>28</v>
      </c>
      <c r="I21" s="8" t="s">
        <v>51</v>
      </c>
      <c r="J21" s="8" t="s">
        <v>21</v>
      </c>
      <c r="K21" s="8" t="s">
        <v>22</v>
      </c>
      <c r="L21" s="7">
        <v>41563</v>
      </c>
      <c r="M21" s="8">
        <v>362</v>
      </c>
      <c r="N21" s="8">
        <v>1</v>
      </c>
      <c r="O21" s="8" t="s">
        <v>24</v>
      </c>
      <c r="P21" s="8" t="s">
        <v>23</v>
      </c>
      <c r="Q21" s="8" t="s">
        <v>24</v>
      </c>
      <c r="R21" s="8" t="s">
        <v>23</v>
      </c>
    </row>
    <row r="22" spans="1:18" ht="16.5" thickBot="1" x14ac:dyDescent="0.25">
      <c r="A22" s="8">
        <v>21</v>
      </c>
      <c r="B22" s="8" t="s">
        <v>18</v>
      </c>
      <c r="C22" s="8">
        <v>2</v>
      </c>
      <c r="D22" s="8">
        <v>3</v>
      </c>
      <c r="E22" s="8">
        <v>115</v>
      </c>
      <c r="F22" s="8">
        <v>66</v>
      </c>
      <c r="G22" s="9">
        <v>174.24242419999999</v>
      </c>
      <c r="H22" s="8" t="s">
        <v>28</v>
      </c>
      <c r="I22" s="8" t="s">
        <v>45</v>
      </c>
      <c r="J22" s="8" t="s">
        <v>21</v>
      </c>
      <c r="K22" s="8" t="s">
        <v>22</v>
      </c>
      <c r="L22" s="6">
        <v>41577</v>
      </c>
      <c r="M22" s="8">
        <v>351</v>
      </c>
      <c r="N22" s="8">
        <v>4</v>
      </c>
      <c r="O22" s="8" t="s">
        <v>24</v>
      </c>
      <c r="P22" s="8" t="s">
        <v>24</v>
      </c>
      <c r="Q22" s="8" t="s">
        <v>24</v>
      </c>
      <c r="R22" s="8" t="s">
        <v>23</v>
      </c>
    </row>
    <row r="23" spans="1:18" ht="16.5" thickBot="1" x14ac:dyDescent="0.25">
      <c r="A23" s="8">
        <v>22</v>
      </c>
      <c r="B23" s="8" t="s">
        <v>37</v>
      </c>
      <c r="C23" s="8">
        <v>1</v>
      </c>
      <c r="D23" s="8">
        <v>4</v>
      </c>
      <c r="E23" s="8">
        <v>119</v>
      </c>
      <c r="F23" s="8">
        <v>181</v>
      </c>
      <c r="G23" s="9">
        <v>65.745856349999997</v>
      </c>
      <c r="H23" s="8" t="s">
        <v>52</v>
      </c>
      <c r="I23" s="8" t="s">
        <v>53</v>
      </c>
      <c r="J23" s="8" t="s">
        <v>52</v>
      </c>
      <c r="K23" s="8" t="s">
        <v>22</v>
      </c>
      <c r="L23" s="7">
        <v>41626</v>
      </c>
      <c r="M23" s="8">
        <v>280</v>
      </c>
      <c r="N23" s="8">
        <v>10</v>
      </c>
      <c r="O23" s="8" t="s">
        <v>23</v>
      </c>
      <c r="P23" s="8" t="s">
        <v>24</v>
      </c>
      <c r="Q23" s="8" t="s">
        <v>24</v>
      </c>
      <c r="R23" s="8" t="s">
        <v>23</v>
      </c>
    </row>
    <row r="24" spans="1:18" ht="16.5" thickBot="1" x14ac:dyDescent="0.25">
      <c r="A24" s="8">
        <v>23</v>
      </c>
      <c r="B24" s="8" t="s">
        <v>18</v>
      </c>
      <c r="C24" s="8">
        <v>2</v>
      </c>
      <c r="D24" s="8">
        <v>3</v>
      </c>
      <c r="E24" s="8">
        <v>123</v>
      </c>
      <c r="F24" s="8">
        <v>111</v>
      </c>
      <c r="G24" s="9">
        <v>110.8108108</v>
      </c>
      <c r="H24" s="8" t="s">
        <v>30</v>
      </c>
      <c r="I24" s="8" t="s">
        <v>54</v>
      </c>
      <c r="J24" s="8" t="s">
        <v>30</v>
      </c>
      <c r="K24" s="8" t="s">
        <v>22</v>
      </c>
      <c r="L24" s="6">
        <v>41658</v>
      </c>
      <c r="M24" s="8">
        <v>268</v>
      </c>
      <c r="N24" s="8">
        <v>10</v>
      </c>
      <c r="O24" s="8" t="s">
        <v>23</v>
      </c>
      <c r="P24" s="8" t="s">
        <v>23</v>
      </c>
      <c r="Q24" s="8" t="s">
        <v>23</v>
      </c>
      <c r="R24" s="8" t="s">
        <v>23</v>
      </c>
    </row>
    <row r="25" spans="1:18" ht="16.5" thickBot="1" x14ac:dyDescent="0.25">
      <c r="A25" s="8">
        <v>24</v>
      </c>
      <c r="B25" s="8" t="s">
        <v>37</v>
      </c>
      <c r="C25" s="8">
        <v>4</v>
      </c>
      <c r="D25" s="8">
        <v>4</v>
      </c>
      <c r="E25" s="8">
        <v>105</v>
      </c>
      <c r="F25" s="8">
        <v>135</v>
      </c>
      <c r="G25" s="9">
        <v>77.777777779999994</v>
      </c>
      <c r="H25" s="8" t="s">
        <v>30</v>
      </c>
      <c r="I25" s="8" t="s">
        <v>55</v>
      </c>
      <c r="J25" s="8" t="s">
        <v>30</v>
      </c>
      <c r="K25" s="8" t="s">
        <v>22</v>
      </c>
      <c r="L25" s="7">
        <v>41684</v>
      </c>
      <c r="M25" s="8">
        <v>166</v>
      </c>
      <c r="N25" s="8">
        <v>3</v>
      </c>
      <c r="O25" s="8" t="s">
        <v>24</v>
      </c>
      <c r="P25" s="8" t="s">
        <v>23</v>
      </c>
      <c r="Q25" s="8" t="s">
        <v>46</v>
      </c>
      <c r="R25" s="8" t="s">
        <v>23</v>
      </c>
    </row>
    <row r="26" spans="1:18" ht="16.5" thickBot="1" x14ac:dyDescent="0.25">
      <c r="A26" s="8">
        <v>25</v>
      </c>
      <c r="B26" s="8" t="s">
        <v>18</v>
      </c>
      <c r="C26" s="8">
        <v>2</v>
      </c>
      <c r="D26" s="8">
        <v>3</v>
      </c>
      <c r="E26" s="8">
        <v>136</v>
      </c>
      <c r="F26" s="8">
        <v>122</v>
      </c>
      <c r="G26" s="9">
        <v>111.47540979999999</v>
      </c>
      <c r="H26" s="8" t="s">
        <v>25</v>
      </c>
      <c r="I26" s="8" t="s">
        <v>56</v>
      </c>
      <c r="J26" s="8" t="s">
        <v>25</v>
      </c>
      <c r="K26" s="8" t="s">
        <v>40</v>
      </c>
      <c r="L26" s="6">
        <v>41696</v>
      </c>
      <c r="M26" s="8">
        <v>280</v>
      </c>
      <c r="N26" s="8">
        <v>4</v>
      </c>
      <c r="O26" s="8" t="s">
        <v>23</v>
      </c>
      <c r="P26" s="8" t="s">
        <v>24</v>
      </c>
      <c r="Q26" s="8" t="s">
        <v>24</v>
      </c>
      <c r="R26" s="8" t="s">
        <v>24</v>
      </c>
    </row>
    <row r="27" spans="1:18" ht="16.5" thickBot="1" x14ac:dyDescent="0.25">
      <c r="A27" s="8">
        <v>26</v>
      </c>
      <c r="B27" s="8" t="s">
        <v>18</v>
      </c>
      <c r="C27" s="8">
        <v>1</v>
      </c>
      <c r="D27" s="8">
        <v>3</v>
      </c>
      <c r="E27" s="8">
        <v>127</v>
      </c>
      <c r="F27" s="8">
        <v>114</v>
      </c>
      <c r="G27" s="9">
        <v>111.4035088</v>
      </c>
      <c r="H27" s="8" t="s">
        <v>36</v>
      </c>
      <c r="I27" s="8" t="s">
        <v>57</v>
      </c>
      <c r="J27" s="8" t="s">
        <v>21</v>
      </c>
      <c r="K27" s="8" t="s">
        <v>22</v>
      </c>
      <c r="L27" s="7">
        <v>41929</v>
      </c>
      <c r="M27" s="8">
        <v>330</v>
      </c>
      <c r="N27" s="8">
        <v>6</v>
      </c>
      <c r="O27" s="8" t="s">
        <v>23</v>
      </c>
      <c r="P27" s="8" t="s">
        <v>24</v>
      </c>
      <c r="Q27" s="8" t="s">
        <v>24</v>
      </c>
      <c r="R27" s="8" t="s">
        <v>23</v>
      </c>
    </row>
    <row r="28" spans="1:18" ht="16.5" thickBot="1" x14ac:dyDescent="0.25">
      <c r="A28" s="8">
        <v>27</v>
      </c>
      <c r="B28" s="8" t="s">
        <v>18</v>
      </c>
      <c r="C28" s="8">
        <v>2</v>
      </c>
      <c r="D28" s="8">
        <v>4</v>
      </c>
      <c r="E28" s="8">
        <v>139</v>
      </c>
      <c r="F28" s="8">
        <v>126</v>
      </c>
      <c r="G28" s="9">
        <v>110.31746029999999</v>
      </c>
      <c r="H28" s="8" t="s">
        <v>19</v>
      </c>
      <c r="I28" s="8" t="s">
        <v>58</v>
      </c>
      <c r="J28" s="8" t="s">
        <v>21</v>
      </c>
      <c r="K28" s="8" t="s">
        <v>22</v>
      </c>
      <c r="L28" s="6">
        <v>41959</v>
      </c>
      <c r="M28" s="8">
        <v>288</v>
      </c>
      <c r="N28" s="8">
        <v>3</v>
      </c>
      <c r="O28" s="8" t="s">
        <v>24</v>
      </c>
      <c r="P28" s="8" t="s">
        <v>23</v>
      </c>
      <c r="Q28" s="8" t="s">
        <v>24</v>
      </c>
      <c r="R28" s="8" t="s">
        <v>24</v>
      </c>
    </row>
    <row r="29" spans="1:18" ht="16.5" thickBot="1" x14ac:dyDescent="0.25">
      <c r="A29" s="8">
        <v>28</v>
      </c>
      <c r="B29" s="8" t="s">
        <v>37</v>
      </c>
      <c r="C29" s="8">
        <v>2</v>
      </c>
      <c r="D29" s="8">
        <v>4</v>
      </c>
      <c r="E29" s="8">
        <v>115</v>
      </c>
      <c r="F29" s="8">
        <v>184</v>
      </c>
      <c r="G29" s="9">
        <v>62.5</v>
      </c>
      <c r="H29" s="8" t="s">
        <v>28</v>
      </c>
      <c r="I29" s="8" t="s">
        <v>38</v>
      </c>
      <c r="J29" s="8" t="s">
        <v>28</v>
      </c>
      <c r="K29" s="8" t="s">
        <v>22</v>
      </c>
      <c r="L29" s="7">
        <v>41982</v>
      </c>
      <c r="M29" s="8">
        <v>444</v>
      </c>
      <c r="N29" s="8">
        <v>10</v>
      </c>
      <c r="O29" s="8" t="s">
        <v>23</v>
      </c>
      <c r="P29" s="8" t="s">
        <v>23</v>
      </c>
      <c r="Q29" s="8" t="s">
        <v>23</v>
      </c>
      <c r="R29" s="8" t="s">
        <v>24</v>
      </c>
    </row>
    <row r="30" spans="1:18" ht="16.5" thickBot="1" x14ac:dyDescent="0.25">
      <c r="A30" s="8">
        <v>29</v>
      </c>
      <c r="B30" s="8" t="s">
        <v>37</v>
      </c>
      <c r="C30" s="8">
        <v>4</v>
      </c>
      <c r="D30" s="8">
        <v>4</v>
      </c>
      <c r="E30" s="8">
        <v>141</v>
      </c>
      <c r="F30" s="8">
        <v>175</v>
      </c>
      <c r="G30" s="9">
        <v>80.571428569999995</v>
      </c>
      <c r="H30" s="8" t="s">
        <v>28</v>
      </c>
      <c r="I30" s="8" t="s">
        <v>38</v>
      </c>
      <c r="J30" s="8" t="s">
        <v>28</v>
      </c>
      <c r="K30" s="8" t="s">
        <v>22</v>
      </c>
      <c r="L30" s="6">
        <v>41982</v>
      </c>
      <c r="M30" s="8">
        <v>315</v>
      </c>
      <c r="N30" s="8">
        <v>10</v>
      </c>
      <c r="O30" s="8" t="s">
        <v>23</v>
      </c>
      <c r="P30" s="8" t="s">
        <v>23</v>
      </c>
      <c r="Q30" s="8" t="s">
        <v>23</v>
      </c>
      <c r="R30" s="8" t="s">
        <v>24</v>
      </c>
    </row>
    <row r="31" spans="1:18" ht="16.5" thickBot="1" x14ac:dyDescent="0.25">
      <c r="A31" s="8">
        <v>30</v>
      </c>
      <c r="B31" s="8" t="s">
        <v>37</v>
      </c>
      <c r="C31" s="8">
        <v>2</v>
      </c>
      <c r="D31" s="8">
        <v>4</v>
      </c>
      <c r="E31" s="8">
        <v>169</v>
      </c>
      <c r="F31" s="8">
        <v>272</v>
      </c>
      <c r="G31" s="9">
        <v>62.132352939999997</v>
      </c>
      <c r="H31" s="8" t="s">
        <v>28</v>
      </c>
      <c r="I31" s="8" t="s">
        <v>59</v>
      </c>
      <c r="J31" s="8" t="s">
        <v>28</v>
      </c>
      <c r="K31" s="8" t="s">
        <v>22</v>
      </c>
      <c r="L31" s="7">
        <v>41999</v>
      </c>
      <c r="M31" s="8">
        <v>465</v>
      </c>
      <c r="N31" s="8">
        <v>10</v>
      </c>
      <c r="O31" s="8" t="s">
        <v>23</v>
      </c>
      <c r="P31" s="8" t="s">
        <v>23</v>
      </c>
      <c r="Q31" s="8" t="s">
        <v>46</v>
      </c>
      <c r="R31" s="8" t="s">
        <v>23</v>
      </c>
    </row>
    <row r="32" spans="1:18" ht="16.5" thickBot="1" x14ac:dyDescent="0.25">
      <c r="A32" s="8">
        <v>31</v>
      </c>
      <c r="B32" s="8" t="s">
        <v>37</v>
      </c>
      <c r="C32" s="8">
        <v>2</v>
      </c>
      <c r="D32" s="8">
        <v>4</v>
      </c>
      <c r="E32" s="8">
        <v>147</v>
      </c>
      <c r="F32" s="8">
        <v>230</v>
      </c>
      <c r="G32" s="9">
        <v>63.913043479999999</v>
      </c>
      <c r="H32" s="8" t="s">
        <v>28</v>
      </c>
      <c r="I32" s="8" t="s">
        <v>60</v>
      </c>
      <c r="J32" s="8" t="s">
        <v>28</v>
      </c>
      <c r="K32" s="8" t="s">
        <v>22</v>
      </c>
      <c r="L32" s="6">
        <v>42010</v>
      </c>
      <c r="M32" s="8">
        <v>475</v>
      </c>
      <c r="N32" s="8">
        <v>10</v>
      </c>
      <c r="O32" s="8" t="s">
        <v>23</v>
      </c>
      <c r="P32" s="8" t="s">
        <v>23</v>
      </c>
      <c r="Q32" s="8" t="s">
        <v>46</v>
      </c>
      <c r="R32" s="8" t="s">
        <v>24</v>
      </c>
    </row>
    <row r="33" spans="1:18" ht="16.5" thickBot="1" x14ac:dyDescent="0.25">
      <c r="A33" s="8">
        <v>32</v>
      </c>
      <c r="B33" s="8" t="s">
        <v>18</v>
      </c>
      <c r="C33" s="8">
        <v>1</v>
      </c>
      <c r="D33" s="8">
        <v>3</v>
      </c>
      <c r="E33" s="8">
        <v>107</v>
      </c>
      <c r="F33" s="8">
        <v>126</v>
      </c>
      <c r="G33" s="9">
        <v>84.920634919999998</v>
      </c>
      <c r="H33" s="8" t="s">
        <v>41</v>
      </c>
      <c r="I33" s="8" t="s">
        <v>38</v>
      </c>
      <c r="J33" s="8" t="s">
        <v>28</v>
      </c>
      <c r="K33" s="8" t="s">
        <v>32</v>
      </c>
      <c r="L33" s="7">
        <v>42050</v>
      </c>
      <c r="M33" s="8">
        <v>300</v>
      </c>
      <c r="N33" s="8">
        <v>7</v>
      </c>
      <c r="O33" s="8" t="s">
        <v>23</v>
      </c>
      <c r="P33" s="8" t="s">
        <v>24</v>
      </c>
      <c r="Q33" s="8" t="s">
        <v>24</v>
      </c>
      <c r="R33" s="8" t="s">
        <v>23</v>
      </c>
    </row>
    <row r="34" spans="1:18" ht="16.5" thickBot="1" x14ac:dyDescent="0.25">
      <c r="A34" s="8">
        <v>33</v>
      </c>
      <c r="B34" s="8" t="s">
        <v>37</v>
      </c>
      <c r="C34" s="8">
        <v>2</v>
      </c>
      <c r="D34" s="8">
        <v>4</v>
      </c>
      <c r="E34" s="8">
        <v>103</v>
      </c>
      <c r="F34" s="8">
        <v>191</v>
      </c>
      <c r="G34" s="9">
        <v>53.926701569999999</v>
      </c>
      <c r="H34" s="8" t="s">
        <v>19</v>
      </c>
      <c r="I34" s="8" t="s">
        <v>61</v>
      </c>
      <c r="J34" s="8" t="s">
        <v>19</v>
      </c>
      <c r="K34" s="8" t="s">
        <v>22</v>
      </c>
      <c r="L34" s="6">
        <v>42228</v>
      </c>
      <c r="M34" s="8">
        <v>375</v>
      </c>
      <c r="N34" s="8">
        <v>10</v>
      </c>
      <c r="O34" s="8" t="s">
        <v>23</v>
      </c>
      <c r="P34" s="8" t="s">
        <v>23</v>
      </c>
      <c r="Q34" s="8" t="s">
        <v>23</v>
      </c>
      <c r="R34" s="8" t="s">
        <v>24</v>
      </c>
    </row>
    <row r="35" spans="1:18" ht="16.5" thickBot="1" x14ac:dyDescent="0.25">
      <c r="A35" s="8">
        <v>34</v>
      </c>
      <c r="B35" s="8" t="s">
        <v>18</v>
      </c>
      <c r="C35" s="8">
        <v>1</v>
      </c>
      <c r="D35" s="8">
        <v>3</v>
      </c>
      <c r="E35" s="8">
        <v>138</v>
      </c>
      <c r="F35" s="8">
        <v>140</v>
      </c>
      <c r="G35" s="9">
        <v>98.571428569999995</v>
      </c>
      <c r="H35" s="8" t="s">
        <v>52</v>
      </c>
      <c r="I35" s="8" t="s">
        <v>47</v>
      </c>
      <c r="J35" s="8" t="s">
        <v>21</v>
      </c>
      <c r="K35" s="8" t="s">
        <v>22</v>
      </c>
      <c r="L35" s="7">
        <v>42299</v>
      </c>
      <c r="M35" s="8">
        <v>299</v>
      </c>
      <c r="N35" s="8">
        <v>8</v>
      </c>
      <c r="O35" s="8" t="s">
        <v>23</v>
      </c>
      <c r="P35" s="8" t="s">
        <v>24</v>
      </c>
      <c r="Q35" s="8" t="s">
        <v>24</v>
      </c>
      <c r="R35" s="8" t="s">
        <v>23</v>
      </c>
    </row>
    <row r="36" spans="1:18" ht="16.5" thickBot="1" x14ac:dyDescent="0.25">
      <c r="A36" s="8">
        <v>35</v>
      </c>
      <c r="B36" s="8" t="s">
        <v>18</v>
      </c>
      <c r="C36" s="8">
        <v>1</v>
      </c>
      <c r="D36" s="8">
        <v>3</v>
      </c>
      <c r="E36" s="8">
        <v>117</v>
      </c>
      <c r="F36" s="8">
        <v>117</v>
      </c>
      <c r="G36" s="9">
        <v>100</v>
      </c>
      <c r="H36" s="8" t="s">
        <v>28</v>
      </c>
      <c r="I36" s="8" t="s">
        <v>59</v>
      </c>
      <c r="J36" s="8" t="s">
        <v>28</v>
      </c>
      <c r="K36" s="8" t="s">
        <v>22</v>
      </c>
      <c r="L36" s="6">
        <v>42386</v>
      </c>
      <c r="M36" s="8">
        <v>295</v>
      </c>
      <c r="N36" s="8">
        <v>6</v>
      </c>
      <c r="O36" s="8" t="s">
        <v>23</v>
      </c>
      <c r="P36" s="8" t="s">
        <v>23</v>
      </c>
      <c r="Q36" s="8" t="s">
        <v>23</v>
      </c>
      <c r="R36" s="8" t="s">
        <v>23</v>
      </c>
    </row>
    <row r="37" spans="1:18" ht="16.5" thickBot="1" x14ac:dyDescent="0.25">
      <c r="A37" s="8">
        <v>36</v>
      </c>
      <c r="B37" s="8" t="s">
        <v>18</v>
      </c>
      <c r="C37" s="8">
        <v>2</v>
      </c>
      <c r="D37" s="8">
        <v>3</v>
      </c>
      <c r="E37" s="8">
        <v>106</v>
      </c>
      <c r="F37" s="8">
        <v>92</v>
      </c>
      <c r="G37" s="9">
        <v>115.2173913</v>
      </c>
      <c r="H37" s="8" t="s">
        <v>28</v>
      </c>
      <c r="I37" s="8" t="s">
        <v>62</v>
      </c>
      <c r="J37" s="8" t="s">
        <v>28</v>
      </c>
      <c r="K37" s="8" t="s">
        <v>22</v>
      </c>
      <c r="L37" s="7">
        <v>42389</v>
      </c>
      <c r="M37" s="8">
        <v>323</v>
      </c>
      <c r="N37" s="8">
        <v>10</v>
      </c>
      <c r="O37" s="8" t="s">
        <v>23</v>
      </c>
      <c r="P37" s="8" t="s">
        <v>23</v>
      </c>
      <c r="Q37" s="8" t="s">
        <v>23</v>
      </c>
      <c r="R37" s="8" t="s">
        <v>23</v>
      </c>
    </row>
    <row r="38" spans="1:18" ht="16.5" thickBot="1" x14ac:dyDescent="0.25">
      <c r="A38" s="8">
        <v>37</v>
      </c>
      <c r="B38" s="8" t="s">
        <v>63</v>
      </c>
      <c r="C38" s="8">
        <v>1</v>
      </c>
      <c r="D38" s="8" t="s">
        <v>64</v>
      </c>
      <c r="E38" s="8">
        <v>100</v>
      </c>
      <c r="F38" s="8">
        <v>63</v>
      </c>
      <c r="G38" s="9">
        <v>158.7301587</v>
      </c>
      <c r="H38" s="8" t="s">
        <v>65</v>
      </c>
      <c r="I38" s="8" t="s">
        <v>66</v>
      </c>
      <c r="J38" s="8" t="s">
        <v>21</v>
      </c>
      <c r="K38" s="8" t="s">
        <v>67</v>
      </c>
      <c r="L38" s="6">
        <v>42484</v>
      </c>
      <c r="M38" s="8">
        <v>180</v>
      </c>
      <c r="N38" s="8">
        <v>2</v>
      </c>
      <c r="O38" s="8" t="s">
        <v>24</v>
      </c>
      <c r="P38" s="8" t="s">
        <v>24</v>
      </c>
      <c r="Q38" s="8" t="s">
        <v>23</v>
      </c>
      <c r="R38" s="8" t="s">
        <v>24</v>
      </c>
    </row>
    <row r="39" spans="1:18" ht="16.5" thickBot="1" x14ac:dyDescent="0.25">
      <c r="A39" s="8">
        <v>38</v>
      </c>
      <c r="B39" s="8" t="s">
        <v>63</v>
      </c>
      <c r="C39" s="8">
        <v>2</v>
      </c>
      <c r="D39" s="8" t="s">
        <v>64</v>
      </c>
      <c r="E39" s="8">
        <v>108</v>
      </c>
      <c r="F39" s="8">
        <v>58</v>
      </c>
      <c r="G39" s="9">
        <v>186.20689659999999</v>
      </c>
      <c r="H39" s="8" t="s">
        <v>68</v>
      </c>
      <c r="I39" s="8" t="s">
        <v>44</v>
      </c>
      <c r="J39" s="8" t="s">
        <v>21</v>
      </c>
      <c r="K39" s="8" t="s">
        <v>67</v>
      </c>
      <c r="L39" s="7">
        <v>42497</v>
      </c>
      <c r="M39" s="8">
        <v>195</v>
      </c>
      <c r="N39" s="8">
        <v>3</v>
      </c>
      <c r="O39" s="8" t="s">
        <v>24</v>
      </c>
      <c r="P39" s="8" t="s">
        <v>24</v>
      </c>
      <c r="Q39" s="8" t="s">
        <v>24</v>
      </c>
      <c r="R39" s="8" t="s">
        <v>24</v>
      </c>
    </row>
    <row r="40" spans="1:18" ht="16.5" thickBot="1" x14ac:dyDescent="0.25">
      <c r="A40" s="8">
        <v>39</v>
      </c>
      <c r="B40" s="8" t="s">
        <v>63</v>
      </c>
      <c r="C40" s="8">
        <v>1</v>
      </c>
      <c r="D40" s="8" t="s">
        <v>64</v>
      </c>
      <c r="E40" s="8">
        <v>109</v>
      </c>
      <c r="F40" s="8">
        <v>55</v>
      </c>
      <c r="G40" s="9">
        <v>198.18181820000001</v>
      </c>
      <c r="H40" s="8" t="s">
        <v>65</v>
      </c>
      <c r="I40" s="8" t="s">
        <v>44</v>
      </c>
      <c r="J40" s="8" t="s">
        <v>21</v>
      </c>
      <c r="K40" s="8" t="s">
        <v>67</v>
      </c>
      <c r="L40" s="6">
        <v>42504</v>
      </c>
      <c r="M40" s="8">
        <v>248</v>
      </c>
      <c r="N40" s="8">
        <v>3</v>
      </c>
      <c r="O40" s="8" t="s">
        <v>23</v>
      </c>
      <c r="P40" s="8" t="s">
        <v>23</v>
      </c>
      <c r="Q40" s="8" t="s">
        <v>24</v>
      </c>
      <c r="R40" s="8" t="s">
        <v>24</v>
      </c>
    </row>
    <row r="41" spans="1:18" ht="16.5" thickBot="1" x14ac:dyDescent="0.25">
      <c r="A41" s="8">
        <v>40</v>
      </c>
      <c r="B41" s="8" t="s">
        <v>63</v>
      </c>
      <c r="C41" s="8">
        <v>1</v>
      </c>
      <c r="D41" s="8" t="s">
        <v>64</v>
      </c>
      <c r="E41" s="8">
        <v>113</v>
      </c>
      <c r="F41" s="8">
        <v>50</v>
      </c>
      <c r="G41" s="9">
        <v>226</v>
      </c>
      <c r="H41" s="8" t="s">
        <v>69</v>
      </c>
      <c r="I41" s="8" t="s">
        <v>44</v>
      </c>
      <c r="J41" s="8" t="s">
        <v>21</v>
      </c>
      <c r="K41" s="8" t="s">
        <v>67</v>
      </c>
      <c r="L41" s="7">
        <v>42508</v>
      </c>
      <c r="M41" s="8">
        <v>211</v>
      </c>
      <c r="N41" s="8">
        <v>3</v>
      </c>
      <c r="O41" s="8" t="s">
        <v>23</v>
      </c>
      <c r="P41" s="8" t="s">
        <v>24</v>
      </c>
      <c r="Q41" s="8" t="s">
        <v>24</v>
      </c>
      <c r="R41" s="8" t="s">
        <v>24</v>
      </c>
    </row>
    <row r="42" spans="1:18" ht="16.5" thickBot="1" x14ac:dyDescent="0.25">
      <c r="A42" s="8">
        <v>41</v>
      </c>
      <c r="B42" s="8" t="s">
        <v>37</v>
      </c>
      <c r="C42" s="8">
        <v>1</v>
      </c>
      <c r="D42" s="8">
        <v>4</v>
      </c>
      <c r="E42" s="8">
        <v>200</v>
      </c>
      <c r="F42" s="8">
        <v>283</v>
      </c>
      <c r="G42" s="9">
        <v>70.671378090000005</v>
      </c>
      <c r="H42" s="8" t="s">
        <v>36</v>
      </c>
      <c r="I42" s="8" t="s">
        <v>70</v>
      </c>
      <c r="J42" s="8" t="s">
        <v>36</v>
      </c>
      <c r="K42" s="8" t="s">
        <v>22</v>
      </c>
      <c r="L42" s="6">
        <v>42572</v>
      </c>
      <c r="M42" s="8">
        <v>566</v>
      </c>
      <c r="N42" s="8">
        <v>8</v>
      </c>
      <c r="O42" s="8" t="s">
        <v>23</v>
      </c>
      <c r="P42" s="8" t="s">
        <v>23</v>
      </c>
      <c r="Q42" s="8" t="s">
        <v>24</v>
      </c>
      <c r="R42" s="8" t="s">
        <v>24</v>
      </c>
    </row>
    <row r="43" spans="1:18" ht="16.5" thickBot="1" x14ac:dyDescent="0.25">
      <c r="A43" s="8">
        <v>42</v>
      </c>
      <c r="B43" s="8" t="s">
        <v>37</v>
      </c>
      <c r="C43" s="8">
        <v>1</v>
      </c>
      <c r="D43" s="8">
        <v>4</v>
      </c>
      <c r="E43" s="8">
        <v>211</v>
      </c>
      <c r="F43" s="8">
        <v>366</v>
      </c>
      <c r="G43" s="9">
        <v>57.650273220000003</v>
      </c>
      <c r="H43" s="8" t="s">
        <v>30</v>
      </c>
      <c r="I43" s="8" t="s">
        <v>71</v>
      </c>
      <c r="J43" s="8" t="s">
        <v>21</v>
      </c>
      <c r="K43" s="8" t="s">
        <v>22</v>
      </c>
      <c r="L43" s="7">
        <v>42651</v>
      </c>
      <c r="M43" s="8">
        <v>557</v>
      </c>
      <c r="N43" s="8">
        <v>5</v>
      </c>
      <c r="O43" s="8" t="s">
        <v>23</v>
      </c>
      <c r="P43" s="8" t="s">
        <v>23</v>
      </c>
      <c r="Q43" s="8" t="s">
        <v>24</v>
      </c>
      <c r="R43" s="8" t="s">
        <v>24</v>
      </c>
    </row>
    <row r="44" spans="1:18" ht="16.5" thickBot="1" x14ac:dyDescent="0.25">
      <c r="A44" s="8">
        <v>43</v>
      </c>
      <c r="B44" s="8" t="s">
        <v>18</v>
      </c>
      <c r="C44" s="8">
        <v>2</v>
      </c>
      <c r="D44" s="8">
        <v>3</v>
      </c>
      <c r="E44" s="8">
        <v>154</v>
      </c>
      <c r="F44" s="8">
        <v>134</v>
      </c>
      <c r="G44" s="9">
        <v>114.9253731</v>
      </c>
      <c r="H44" s="8" t="s">
        <v>30</v>
      </c>
      <c r="I44" s="8" t="s">
        <v>72</v>
      </c>
      <c r="J44" s="8" t="s">
        <v>21</v>
      </c>
      <c r="K44" s="8" t="s">
        <v>22</v>
      </c>
      <c r="L44" s="6">
        <v>42666</v>
      </c>
      <c r="M44" s="8">
        <v>289</v>
      </c>
      <c r="N44" s="8">
        <v>3</v>
      </c>
      <c r="O44" s="8" t="s">
        <v>24</v>
      </c>
      <c r="P44" s="8" t="s">
        <v>24</v>
      </c>
      <c r="Q44" s="8" t="s">
        <v>24</v>
      </c>
      <c r="R44" s="8" t="s">
        <v>23</v>
      </c>
    </row>
    <row r="45" spans="1:18" ht="16.5" thickBot="1" x14ac:dyDescent="0.25">
      <c r="A45" s="8">
        <v>44</v>
      </c>
      <c r="B45" s="8" t="s">
        <v>37</v>
      </c>
      <c r="C45" s="8">
        <v>1</v>
      </c>
      <c r="D45" s="8">
        <v>4</v>
      </c>
      <c r="E45" s="8">
        <v>167</v>
      </c>
      <c r="F45" s="8">
        <v>267</v>
      </c>
      <c r="G45" s="9">
        <v>62.546816479999997</v>
      </c>
      <c r="H45" s="8" t="s">
        <v>33</v>
      </c>
      <c r="I45" s="8" t="s">
        <v>29</v>
      </c>
      <c r="J45" s="8" t="s">
        <v>21</v>
      </c>
      <c r="K45" s="8" t="s">
        <v>22</v>
      </c>
      <c r="L45" s="7">
        <v>42691</v>
      </c>
      <c r="M45" s="8">
        <v>455</v>
      </c>
      <c r="N45" s="8">
        <v>10</v>
      </c>
      <c r="O45" s="8" t="s">
        <v>23</v>
      </c>
      <c r="P45" s="8" t="s">
        <v>24</v>
      </c>
      <c r="Q45" s="8" t="s">
        <v>24</v>
      </c>
      <c r="R45" s="8" t="s">
        <v>24</v>
      </c>
    </row>
    <row r="46" spans="1:18" ht="16.5" thickBot="1" x14ac:dyDescent="0.25">
      <c r="A46" s="8">
        <v>45</v>
      </c>
      <c r="B46" s="8" t="s">
        <v>37</v>
      </c>
      <c r="C46" s="8">
        <v>2</v>
      </c>
      <c r="D46" s="8">
        <v>4</v>
      </c>
      <c r="E46" s="8">
        <v>235</v>
      </c>
      <c r="F46" s="8">
        <v>340</v>
      </c>
      <c r="G46" s="9">
        <v>69.117647059999996</v>
      </c>
      <c r="H46" s="8" t="s">
        <v>33</v>
      </c>
      <c r="I46" s="8" t="s">
        <v>73</v>
      </c>
      <c r="J46" s="8" t="s">
        <v>21</v>
      </c>
      <c r="K46" s="8" t="s">
        <v>22</v>
      </c>
      <c r="L46" s="6">
        <v>42712</v>
      </c>
      <c r="M46" s="8">
        <v>631</v>
      </c>
      <c r="N46" s="8">
        <v>10</v>
      </c>
      <c r="O46" s="8" t="s">
        <v>23</v>
      </c>
      <c r="P46" s="8" t="s">
        <v>24</v>
      </c>
      <c r="Q46" s="8" t="s">
        <v>24</v>
      </c>
      <c r="R46" s="8" t="s">
        <v>24</v>
      </c>
    </row>
    <row r="47" spans="1:18" ht="16.5" thickBot="1" x14ac:dyDescent="0.25">
      <c r="A47" s="8">
        <v>46</v>
      </c>
      <c r="B47" s="8" t="s">
        <v>18</v>
      </c>
      <c r="C47" s="8">
        <v>2</v>
      </c>
      <c r="D47" s="8">
        <v>3</v>
      </c>
      <c r="E47" s="8">
        <v>122</v>
      </c>
      <c r="F47" s="8">
        <v>105</v>
      </c>
      <c r="G47" s="9">
        <v>116.19047620000001</v>
      </c>
      <c r="H47" s="8" t="s">
        <v>33</v>
      </c>
      <c r="I47" s="8" t="s">
        <v>74</v>
      </c>
      <c r="J47" s="8" t="s">
        <v>21</v>
      </c>
      <c r="K47" s="8" t="s">
        <v>22</v>
      </c>
      <c r="L47" s="7">
        <v>42750</v>
      </c>
      <c r="M47" s="8">
        <v>356</v>
      </c>
      <c r="N47" s="8">
        <v>7</v>
      </c>
      <c r="O47" s="8" t="s">
        <v>23</v>
      </c>
      <c r="P47" s="8" t="s">
        <v>23</v>
      </c>
      <c r="Q47" s="8" t="s">
        <v>24</v>
      </c>
      <c r="R47" s="8" t="s">
        <v>24</v>
      </c>
    </row>
    <row r="48" spans="1:18" ht="16.5" thickBot="1" x14ac:dyDescent="0.25">
      <c r="A48" s="8">
        <v>47</v>
      </c>
      <c r="B48" s="8" t="s">
        <v>37</v>
      </c>
      <c r="C48" s="8">
        <v>1</v>
      </c>
      <c r="D48" s="8">
        <v>4</v>
      </c>
      <c r="E48" s="8">
        <v>204</v>
      </c>
      <c r="F48" s="8">
        <v>246</v>
      </c>
      <c r="G48" s="9">
        <v>82.926829269999999</v>
      </c>
      <c r="H48" s="8" t="s">
        <v>25</v>
      </c>
      <c r="I48" s="8" t="s">
        <v>75</v>
      </c>
      <c r="J48" s="8" t="s">
        <v>21</v>
      </c>
      <c r="K48" s="8" t="s">
        <v>22</v>
      </c>
      <c r="L48" s="6">
        <v>42775</v>
      </c>
      <c r="M48" s="8">
        <v>687</v>
      </c>
      <c r="N48" s="8">
        <v>6</v>
      </c>
      <c r="O48" s="8" t="s">
        <v>23</v>
      </c>
      <c r="P48" s="8" t="s">
        <v>24</v>
      </c>
      <c r="Q48" s="8" t="s">
        <v>24</v>
      </c>
      <c r="R48" s="8" t="s">
        <v>24</v>
      </c>
    </row>
    <row r="49" spans="1:18" ht="16.5" thickBot="1" x14ac:dyDescent="0.25">
      <c r="A49" s="8">
        <v>48</v>
      </c>
      <c r="B49" s="8" t="s">
        <v>18</v>
      </c>
      <c r="C49" s="8">
        <v>2</v>
      </c>
      <c r="D49" s="8">
        <v>3</v>
      </c>
      <c r="E49" s="8">
        <v>111</v>
      </c>
      <c r="F49" s="8">
        <v>115</v>
      </c>
      <c r="G49" s="9">
        <v>96.52173913</v>
      </c>
      <c r="H49" s="8" t="s">
        <v>36</v>
      </c>
      <c r="I49" s="8" t="s">
        <v>76</v>
      </c>
      <c r="J49" s="8" t="s">
        <v>36</v>
      </c>
      <c r="K49" s="8" t="s">
        <v>22</v>
      </c>
      <c r="L49" s="7">
        <v>42922</v>
      </c>
      <c r="M49" s="8">
        <v>206</v>
      </c>
      <c r="N49" s="8">
        <v>2</v>
      </c>
      <c r="O49" s="8" t="s">
        <v>24</v>
      </c>
      <c r="P49" s="8" t="s">
        <v>24</v>
      </c>
      <c r="Q49" s="8" t="s">
        <v>24</v>
      </c>
      <c r="R49" s="8" t="s">
        <v>24</v>
      </c>
    </row>
    <row r="50" spans="1:18" ht="16.5" thickBot="1" x14ac:dyDescent="0.25">
      <c r="A50" s="8">
        <v>49</v>
      </c>
      <c r="B50" s="8" t="s">
        <v>37</v>
      </c>
      <c r="C50" s="8">
        <v>3</v>
      </c>
      <c r="D50" s="8">
        <v>4</v>
      </c>
      <c r="E50" s="8">
        <v>103</v>
      </c>
      <c r="F50" s="8">
        <v>136</v>
      </c>
      <c r="G50" s="9">
        <v>75.735294120000006</v>
      </c>
      <c r="H50" s="8" t="s">
        <v>19</v>
      </c>
      <c r="I50" s="8" t="s">
        <v>61</v>
      </c>
      <c r="J50" s="8" t="s">
        <v>19</v>
      </c>
      <c r="K50" s="8" t="s">
        <v>22</v>
      </c>
      <c r="L50" s="6">
        <v>42942</v>
      </c>
      <c r="M50" s="8">
        <v>240</v>
      </c>
      <c r="N50" s="8">
        <v>3</v>
      </c>
      <c r="O50" s="8" t="s">
        <v>24</v>
      </c>
      <c r="P50" s="8" t="s">
        <v>23</v>
      </c>
      <c r="Q50" s="8" t="s">
        <v>24</v>
      </c>
      <c r="R50" s="8" t="s">
        <v>24</v>
      </c>
    </row>
    <row r="51" spans="1:18" ht="16.5" thickBot="1" x14ac:dyDescent="0.25">
      <c r="A51" s="8">
        <v>50</v>
      </c>
      <c r="B51" s="8" t="s">
        <v>18</v>
      </c>
      <c r="C51" s="8">
        <v>1</v>
      </c>
      <c r="D51" s="8">
        <v>3</v>
      </c>
      <c r="E51" s="8">
        <v>131</v>
      </c>
      <c r="F51" s="8">
        <v>96</v>
      </c>
      <c r="G51" s="9">
        <v>136.45833329999999</v>
      </c>
      <c r="H51" s="8" t="s">
        <v>19</v>
      </c>
      <c r="I51" s="8" t="s">
        <v>43</v>
      </c>
      <c r="J51" s="8" t="s">
        <v>19</v>
      </c>
      <c r="K51" s="8" t="s">
        <v>22</v>
      </c>
      <c r="L51" s="7">
        <v>42978</v>
      </c>
      <c r="M51" s="8">
        <v>375</v>
      </c>
      <c r="N51" s="8">
        <v>5</v>
      </c>
      <c r="O51" s="8" t="s">
        <v>23</v>
      </c>
      <c r="P51" s="8" t="s">
        <v>24</v>
      </c>
      <c r="Q51" s="8" t="s">
        <v>24</v>
      </c>
      <c r="R51" s="8" t="s">
        <v>24</v>
      </c>
    </row>
    <row r="52" spans="1:18" ht="16.5" thickBot="1" x14ac:dyDescent="0.25">
      <c r="A52" s="8">
        <v>51</v>
      </c>
      <c r="B52" s="8" t="s">
        <v>18</v>
      </c>
      <c r="C52" s="8">
        <v>2</v>
      </c>
      <c r="D52" s="8">
        <v>3</v>
      </c>
      <c r="E52" s="8">
        <v>110</v>
      </c>
      <c r="F52" s="8">
        <v>116</v>
      </c>
      <c r="G52" s="9">
        <v>94.827586210000007</v>
      </c>
      <c r="H52" s="8" t="s">
        <v>19</v>
      </c>
      <c r="I52" s="8" t="s">
        <v>43</v>
      </c>
      <c r="J52" s="8" t="s">
        <v>19</v>
      </c>
      <c r="K52" s="8" t="s">
        <v>22</v>
      </c>
      <c r="L52" s="6">
        <v>42981</v>
      </c>
      <c r="M52" s="8">
        <v>239</v>
      </c>
      <c r="N52" s="8">
        <v>4</v>
      </c>
      <c r="O52" s="8" t="s">
        <v>24</v>
      </c>
      <c r="P52" s="8" t="s">
        <v>23</v>
      </c>
      <c r="Q52" s="8" t="s">
        <v>24</v>
      </c>
      <c r="R52" s="8" t="s">
        <v>24</v>
      </c>
    </row>
    <row r="53" spans="1:18" ht="16.5" thickBot="1" x14ac:dyDescent="0.25">
      <c r="A53" s="8">
        <v>52</v>
      </c>
      <c r="B53" s="8" t="s">
        <v>18</v>
      </c>
      <c r="C53" s="8">
        <v>1</v>
      </c>
      <c r="D53" s="8">
        <v>3</v>
      </c>
      <c r="E53" s="8">
        <v>121</v>
      </c>
      <c r="F53" s="8">
        <v>125</v>
      </c>
      <c r="G53" s="9">
        <v>96.8</v>
      </c>
      <c r="H53" s="8" t="s">
        <v>30</v>
      </c>
      <c r="I53" s="8" t="s">
        <v>73</v>
      </c>
      <c r="J53" s="8" t="s">
        <v>30</v>
      </c>
      <c r="K53" s="8" t="s">
        <v>22</v>
      </c>
      <c r="L53" s="7">
        <v>43030</v>
      </c>
      <c r="M53" s="8">
        <v>280</v>
      </c>
      <c r="N53" s="8">
        <v>8</v>
      </c>
      <c r="O53" s="8" t="s">
        <v>23</v>
      </c>
      <c r="P53" s="8" t="s">
        <v>23</v>
      </c>
      <c r="Q53" s="8" t="s">
        <v>23</v>
      </c>
      <c r="R53" s="8" t="s">
        <v>24</v>
      </c>
    </row>
    <row r="54" spans="1:18" ht="16.5" thickBot="1" x14ac:dyDescent="0.25">
      <c r="A54" s="8">
        <v>53</v>
      </c>
      <c r="B54" s="8" t="s">
        <v>18</v>
      </c>
      <c r="C54" s="8">
        <v>1</v>
      </c>
      <c r="D54" s="8">
        <v>3</v>
      </c>
      <c r="E54" s="8">
        <v>113</v>
      </c>
      <c r="F54" s="8">
        <v>106</v>
      </c>
      <c r="G54" s="9">
        <v>106.6037736</v>
      </c>
      <c r="H54" s="8" t="s">
        <v>30</v>
      </c>
      <c r="I54" s="8" t="s">
        <v>77</v>
      </c>
      <c r="J54" s="8" t="s">
        <v>30</v>
      </c>
      <c r="K54" s="8" t="s">
        <v>22</v>
      </c>
      <c r="L54" s="6">
        <v>43037</v>
      </c>
      <c r="M54" s="8">
        <v>337</v>
      </c>
      <c r="N54" s="8">
        <v>6</v>
      </c>
      <c r="O54" s="8" t="s">
        <v>23</v>
      </c>
      <c r="P54" s="8" t="s">
        <v>24</v>
      </c>
      <c r="Q54" s="8" t="s">
        <v>24</v>
      </c>
      <c r="R54" s="8" t="s">
        <v>24</v>
      </c>
    </row>
    <row r="55" spans="1:18" ht="16.5" thickBot="1" x14ac:dyDescent="0.25">
      <c r="A55" s="8">
        <v>54</v>
      </c>
      <c r="B55" s="8" t="s">
        <v>37</v>
      </c>
      <c r="C55" s="8">
        <v>3</v>
      </c>
      <c r="D55" s="8">
        <v>4</v>
      </c>
      <c r="E55" s="8">
        <v>104</v>
      </c>
      <c r="F55" s="8">
        <v>119</v>
      </c>
      <c r="G55" s="9">
        <v>87.394957980000001</v>
      </c>
      <c r="H55" s="8" t="s">
        <v>19</v>
      </c>
      <c r="I55" s="8" t="s">
        <v>20</v>
      </c>
      <c r="J55" s="8" t="s">
        <v>21</v>
      </c>
      <c r="K55" s="8" t="s">
        <v>22</v>
      </c>
      <c r="L55" s="7">
        <v>43055</v>
      </c>
      <c r="M55" s="8">
        <v>352</v>
      </c>
      <c r="N55" s="8">
        <v>8</v>
      </c>
      <c r="O55" s="8" t="s">
        <v>24</v>
      </c>
      <c r="P55" s="8" t="s">
        <v>23</v>
      </c>
      <c r="Q55" s="8" t="s">
        <v>46</v>
      </c>
      <c r="R55" s="8" t="s">
        <v>24</v>
      </c>
    </row>
    <row r="56" spans="1:18" ht="16.5" thickBot="1" x14ac:dyDescent="0.25">
      <c r="A56" s="8">
        <v>55</v>
      </c>
      <c r="B56" s="8" t="s">
        <v>37</v>
      </c>
      <c r="C56" s="8">
        <v>2</v>
      </c>
      <c r="D56" s="8">
        <v>4</v>
      </c>
      <c r="E56" s="8">
        <v>213</v>
      </c>
      <c r="F56" s="8">
        <v>267</v>
      </c>
      <c r="G56" s="9">
        <v>79.775280899999998</v>
      </c>
      <c r="H56" s="8" t="s">
        <v>19</v>
      </c>
      <c r="I56" s="8" t="s">
        <v>45</v>
      </c>
      <c r="J56" s="8" t="s">
        <v>21</v>
      </c>
      <c r="K56" s="8" t="s">
        <v>22</v>
      </c>
      <c r="L56" s="6">
        <v>43063</v>
      </c>
      <c r="M56" s="8">
        <v>610</v>
      </c>
      <c r="N56" s="8">
        <v>6</v>
      </c>
      <c r="O56" s="8" t="s">
        <v>23</v>
      </c>
      <c r="P56" s="8" t="s">
        <v>24</v>
      </c>
      <c r="Q56" s="8" t="s">
        <v>24</v>
      </c>
      <c r="R56" s="8" t="s">
        <v>24</v>
      </c>
    </row>
    <row r="57" spans="1:18" ht="16.5" thickBot="1" x14ac:dyDescent="0.25">
      <c r="A57" s="8">
        <v>56</v>
      </c>
      <c r="B57" s="8" t="s">
        <v>37</v>
      </c>
      <c r="C57" s="8">
        <v>1</v>
      </c>
      <c r="D57" s="8">
        <v>4</v>
      </c>
      <c r="E57" s="8">
        <v>243</v>
      </c>
      <c r="F57" s="8">
        <v>287</v>
      </c>
      <c r="G57" s="9">
        <v>84.668989550000006</v>
      </c>
      <c r="H57" s="8" t="s">
        <v>19</v>
      </c>
      <c r="I57" s="8" t="s">
        <v>35</v>
      </c>
      <c r="J57" s="8" t="s">
        <v>21</v>
      </c>
      <c r="K57" s="8" t="s">
        <v>22</v>
      </c>
      <c r="L57" s="7">
        <v>43071</v>
      </c>
      <c r="M57" s="8">
        <v>536</v>
      </c>
      <c r="N57" s="8">
        <v>7</v>
      </c>
      <c r="O57" s="8" t="s">
        <v>23</v>
      </c>
      <c r="P57" s="8" t="s">
        <v>24</v>
      </c>
      <c r="Q57" s="8" t="s">
        <v>46</v>
      </c>
      <c r="R57" s="8" t="s">
        <v>24</v>
      </c>
    </row>
    <row r="58" spans="1:18" ht="16.5" thickBot="1" x14ac:dyDescent="0.25">
      <c r="A58" s="8">
        <v>57</v>
      </c>
      <c r="B58" s="8" t="s">
        <v>37</v>
      </c>
      <c r="C58" s="8">
        <v>2</v>
      </c>
      <c r="D58" s="8">
        <v>4</v>
      </c>
      <c r="E58" s="8">
        <v>153</v>
      </c>
      <c r="F58" s="8">
        <v>217</v>
      </c>
      <c r="G58" s="9">
        <v>70.506912439999994</v>
      </c>
      <c r="H58" s="8" t="s">
        <v>52</v>
      </c>
      <c r="I58" s="8" t="s">
        <v>78</v>
      </c>
      <c r="J58" s="8" t="s">
        <v>52</v>
      </c>
      <c r="K58" s="8" t="s">
        <v>22</v>
      </c>
      <c r="L58" s="6">
        <v>43113</v>
      </c>
      <c r="M58" s="8">
        <v>307</v>
      </c>
      <c r="N58" s="8">
        <v>10</v>
      </c>
      <c r="O58" s="8" t="s">
        <v>23</v>
      </c>
      <c r="P58" s="8" t="s">
        <v>23</v>
      </c>
      <c r="Q58" s="8" t="s">
        <v>23</v>
      </c>
      <c r="R58" s="8" t="s">
        <v>24</v>
      </c>
    </row>
    <row r="59" spans="1:18" ht="16.5" thickBot="1" x14ac:dyDescent="0.25">
      <c r="A59" s="8">
        <v>58</v>
      </c>
      <c r="B59" s="8" t="s">
        <v>18</v>
      </c>
      <c r="C59" s="8">
        <v>2</v>
      </c>
      <c r="D59" s="8">
        <v>3</v>
      </c>
      <c r="E59" s="8">
        <v>112</v>
      </c>
      <c r="F59" s="8">
        <v>119</v>
      </c>
      <c r="G59" s="9">
        <v>94.117647059999996</v>
      </c>
      <c r="H59" s="8" t="s">
        <v>52</v>
      </c>
      <c r="I59" s="8" t="s">
        <v>79</v>
      </c>
      <c r="J59" s="8" t="s">
        <v>52</v>
      </c>
      <c r="K59" s="8" t="s">
        <v>22</v>
      </c>
      <c r="L59" s="7">
        <v>43132</v>
      </c>
      <c r="M59" s="8">
        <v>270</v>
      </c>
      <c r="N59" s="8">
        <v>4</v>
      </c>
      <c r="O59" s="8" t="s">
        <v>23</v>
      </c>
      <c r="P59" s="8" t="s">
        <v>24</v>
      </c>
      <c r="Q59" s="8" t="s">
        <v>24</v>
      </c>
      <c r="R59" s="8" t="s">
        <v>24</v>
      </c>
    </row>
    <row r="60" spans="1:18" ht="16.5" thickBot="1" x14ac:dyDescent="0.25">
      <c r="A60" s="8">
        <v>59</v>
      </c>
      <c r="B60" s="8" t="s">
        <v>18</v>
      </c>
      <c r="C60" s="8">
        <v>1</v>
      </c>
      <c r="D60" s="8">
        <v>3</v>
      </c>
      <c r="E60" s="8">
        <v>160</v>
      </c>
      <c r="F60" s="8">
        <v>159</v>
      </c>
      <c r="G60" s="9">
        <v>100.62893080000001</v>
      </c>
      <c r="H60" s="8" t="s">
        <v>52</v>
      </c>
      <c r="I60" s="8" t="s">
        <v>80</v>
      </c>
      <c r="J60" s="8" t="s">
        <v>52</v>
      </c>
      <c r="K60" s="8" t="s">
        <v>22</v>
      </c>
      <c r="L60" s="6">
        <v>43138</v>
      </c>
      <c r="M60" s="8">
        <v>303</v>
      </c>
      <c r="N60" s="8">
        <v>6</v>
      </c>
      <c r="O60" s="8" t="s">
        <v>24</v>
      </c>
      <c r="P60" s="8" t="s">
        <v>24</v>
      </c>
      <c r="Q60" s="8" t="s">
        <v>24</v>
      </c>
      <c r="R60" s="8" t="s">
        <v>24</v>
      </c>
    </row>
    <row r="61" spans="1:18" ht="16.5" thickBot="1" x14ac:dyDescent="0.25">
      <c r="A61" s="8">
        <v>60</v>
      </c>
      <c r="B61" s="8" t="s">
        <v>18</v>
      </c>
      <c r="C61" s="8">
        <v>2</v>
      </c>
      <c r="D61" s="8">
        <v>3</v>
      </c>
      <c r="E61" s="8">
        <v>129</v>
      </c>
      <c r="F61" s="8">
        <v>96</v>
      </c>
      <c r="G61" s="9">
        <v>134.375</v>
      </c>
      <c r="H61" s="8" t="s">
        <v>52</v>
      </c>
      <c r="I61" s="8" t="s">
        <v>78</v>
      </c>
      <c r="J61" s="8" t="s">
        <v>52</v>
      </c>
      <c r="K61" s="8" t="s">
        <v>22</v>
      </c>
      <c r="L61" s="7">
        <v>43147</v>
      </c>
      <c r="M61" s="8">
        <v>206</v>
      </c>
      <c r="N61" s="8">
        <v>2</v>
      </c>
      <c r="O61" s="8" t="s">
        <v>24</v>
      </c>
      <c r="P61" s="8" t="s">
        <v>24</v>
      </c>
      <c r="Q61" s="8" t="s">
        <v>24</v>
      </c>
      <c r="R61" s="8" t="s">
        <v>24</v>
      </c>
    </row>
    <row r="62" spans="1:18" ht="16.5" thickBot="1" x14ac:dyDescent="0.25">
      <c r="A62" s="8">
        <v>61</v>
      </c>
      <c r="B62" s="8" t="s">
        <v>37</v>
      </c>
      <c r="C62" s="8">
        <v>2</v>
      </c>
      <c r="D62" s="8">
        <v>4</v>
      </c>
      <c r="E62" s="8">
        <v>149</v>
      </c>
      <c r="F62" s="8">
        <v>225</v>
      </c>
      <c r="G62" s="9">
        <v>66.222222220000006</v>
      </c>
      <c r="H62" s="8" t="s">
        <v>33</v>
      </c>
      <c r="I62" s="8" t="s">
        <v>81</v>
      </c>
      <c r="J62" s="8" t="s">
        <v>33</v>
      </c>
      <c r="K62" s="8" t="s">
        <v>22</v>
      </c>
      <c r="L62" s="6">
        <v>43313</v>
      </c>
      <c r="M62" s="8">
        <v>274</v>
      </c>
      <c r="N62" s="8">
        <v>10</v>
      </c>
      <c r="O62" s="8" t="s">
        <v>23</v>
      </c>
      <c r="P62" s="8" t="s">
        <v>23</v>
      </c>
      <c r="Q62" s="8" t="s">
        <v>23</v>
      </c>
      <c r="R62" s="8" t="s">
        <v>24</v>
      </c>
    </row>
    <row r="63" spans="1:18" ht="16.5" thickBot="1" x14ac:dyDescent="0.25">
      <c r="A63" s="8">
        <v>62</v>
      </c>
      <c r="B63" s="8" t="s">
        <v>37</v>
      </c>
      <c r="C63" s="8">
        <v>3</v>
      </c>
      <c r="D63" s="8">
        <v>4</v>
      </c>
      <c r="E63" s="8">
        <v>103</v>
      </c>
      <c r="F63" s="8">
        <v>197</v>
      </c>
      <c r="G63" s="9">
        <v>52.284263959999997</v>
      </c>
      <c r="H63" s="8" t="s">
        <v>33</v>
      </c>
      <c r="I63" s="8" t="s">
        <v>82</v>
      </c>
      <c r="J63" s="8" t="s">
        <v>33</v>
      </c>
      <c r="K63" s="8" t="s">
        <v>22</v>
      </c>
      <c r="L63" s="7">
        <v>43330</v>
      </c>
      <c r="M63" s="8">
        <v>352</v>
      </c>
      <c r="N63" s="8">
        <v>7</v>
      </c>
      <c r="O63" s="8" t="s">
        <v>23</v>
      </c>
      <c r="P63" s="8" t="s">
        <v>24</v>
      </c>
      <c r="Q63" s="8" t="s">
        <v>24</v>
      </c>
      <c r="R63" s="8" t="s">
        <v>24</v>
      </c>
    </row>
    <row r="64" spans="1:18" ht="16.5" thickBot="1" x14ac:dyDescent="0.25">
      <c r="A64" s="8">
        <v>63</v>
      </c>
      <c r="B64" s="8" t="s">
        <v>37</v>
      </c>
      <c r="C64" s="8">
        <v>1</v>
      </c>
      <c r="D64" s="8">
        <v>4</v>
      </c>
      <c r="E64" s="8">
        <v>139</v>
      </c>
      <c r="F64" s="8">
        <v>230</v>
      </c>
      <c r="G64" s="9">
        <v>60.434782609999999</v>
      </c>
      <c r="H64" s="8" t="s">
        <v>36</v>
      </c>
      <c r="I64" s="8" t="s">
        <v>66</v>
      </c>
      <c r="J64" s="8" t="s">
        <v>21</v>
      </c>
      <c r="K64" s="8" t="s">
        <v>22</v>
      </c>
      <c r="L64" s="6">
        <v>43377</v>
      </c>
      <c r="M64" s="8">
        <v>649</v>
      </c>
      <c r="N64" s="8">
        <v>9</v>
      </c>
      <c r="O64" s="8" t="s">
        <v>23</v>
      </c>
      <c r="P64" s="8" t="s">
        <v>23</v>
      </c>
      <c r="Q64" s="8" t="s">
        <v>24</v>
      </c>
      <c r="R64" s="8" t="s">
        <v>24</v>
      </c>
    </row>
    <row r="65" spans="1:18" ht="16.5" thickBot="1" x14ac:dyDescent="0.25">
      <c r="A65" s="8">
        <v>64</v>
      </c>
      <c r="B65" s="8" t="s">
        <v>18</v>
      </c>
      <c r="C65" s="8">
        <v>2</v>
      </c>
      <c r="D65" s="8">
        <v>3</v>
      </c>
      <c r="E65" s="8">
        <v>140</v>
      </c>
      <c r="F65" s="8">
        <v>107</v>
      </c>
      <c r="G65" s="9">
        <v>130.84112150000001</v>
      </c>
      <c r="H65" s="8" t="s">
        <v>36</v>
      </c>
      <c r="I65" s="8" t="s">
        <v>31</v>
      </c>
      <c r="J65" s="8" t="s">
        <v>21</v>
      </c>
      <c r="K65" s="8" t="s">
        <v>22</v>
      </c>
      <c r="L65" s="7">
        <v>43394</v>
      </c>
      <c r="M65" s="8">
        <v>326</v>
      </c>
      <c r="N65" s="8">
        <v>2</v>
      </c>
      <c r="O65" s="8" t="s">
        <v>23</v>
      </c>
      <c r="P65" s="8" t="s">
        <v>24</v>
      </c>
      <c r="Q65" s="8" t="s">
        <v>24</v>
      </c>
      <c r="R65" s="8" t="s">
        <v>24</v>
      </c>
    </row>
    <row r="66" spans="1:18" ht="16.5" thickBot="1" x14ac:dyDescent="0.25">
      <c r="A66" s="8">
        <v>65</v>
      </c>
      <c r="B66" s="8" t="s">
        <v>18</v>
      </c>
      <c r="C66" s="8">
        <v>1</v>
      </c>
      <c r="D66" s="8">
        <v>3</v>
      </c>
      <c r="E66" s="8">
        <v>157</v>
      </c>
      <c r="F66" s="8">
        <v>129</v>
      </c>
      <c r="G66" s="9">
        <v>121.70542639999999</v>
      </c>
      <c r="H66" s="8" t="s">
        <v>36</v>
      </c>
      <c r="I66" s="8" t="s">
        <v>29</v>
      </c>
      <c r="J66" s="8" t="s">
        <v>21</v>
      </c>
      <c r="K66" s="8" t="s">
        <v>22</v>
      </c>
      <c r="L66" s="6">
        <v>43397</v>
      </c>
      <c r="M66" s="8">
        <v>321</v>
      </c>
      <c r="N66" s="8">
        <v>6</v>
      </c>
      <c r="O66" s="8" t="s">
        <v>24</v>
      </c>
      <c r="P66" s="8" t="s">
        <v>24</v>
      </c>
      <c r="Q66" s="8" t="s">
        <v>83</v>
      </c>
      <c r="R66" s="8" t="s">
        <v>24</v>
      </c>
    </row>
    <row r="67" spans="1:18" ht="16.5" thickBot="1" x14ac:dyDescent="0.25">
      <c r="A67" s="8">
        <v>66</v>
      </c>
      <c r="B67" s="8" t="s">
        <v>18</v>
      </c>
      <c r="C67" s="8">
        <v>2</v>
      </c>
      <c r="D67" s="8">
        <v>3</v>
      </c>
      <c r="E67" s="8">
        <v>107</v>
      </c>
      <c r="F67" s="8">
        <v>119</v>
      </c>
      <c r="G67" s="9">
        <v>89.915966389999994</v>
      </c>
      <c r="H67" s="8" t="s">
        <v>36</v>
      </c>
      <c r="I67" s="8" t="s">
        <v>74</v>
      </c>
      <c r="J67" s="8" t="s">
        <v>21</v>
      </c>
      <c r="K67" s="8" t="s">
        <v>22</v>
      </c>
      <c r="L67" s="7">
        <v>43400</v>
      </c>
      <c r="M67" s="8">
        <v>240</v>
      </c>
      <c r="N67" s="8">
        <v>10</v>
      </c>
      <c r="O67" s="8" t="s">
        <v>23</v>
      </c>
      <c r="P67" s="8" t="s">
        <v>23</v>
      </c>
      <c r="Q67" s="8" t="s">
        <v>23</v>
      </c>
      <c r="R67" s="8" t="s">
        <v>24</v>
      </c>
    </row>
    <row r="68" spans="1:18" ht="16.5" thickBot="1" x14ac:dyDescent="0.25">
      <c r="A68" s="8">
        <v>67</v>
      </c>
      <c r="B68" s="8" t="s">
        <v>37</v>
      </c>
      <c r="C68" s="8">
        <v>2</v>
      </c>
      <c r="D68" s="8">
        <v>4</v>
      </c>
      <c r="E68" s="8">
        <v>123</v>
      </c>
      <c r="F68" s="8">
        <v>257</v>
      </c>
      <c r="G68" s="9">
        <v>47.859922179999998</v>
      </c>
      <c r="H68" s="8" t="s">
        <v>28</v>
      </c>
      <c r="I68" s="8" t="s">
        <v>84</v>
      </c>
      <c r="J68" s="8" t="s">
        <v>28</v>
      </c>
      <c r="K68" s="8" t="s">
        <v>22</v>
      </c>
      <c r="L68" s="6">
        <v>43448</v>
      </c>
      <c r="M68" s="8">
        <v>283</v>
      </c>
      <c r="N68" s="8">
        <v>10</v>
      </c>
      <c r="O68" s="8" t="s">
        <v>23</v>
      </c>
      <c r="P68" s="8" t="s">
        <v>23</v>
      </c>
      <c r="Q68" s="8" t="s">
        <v>23</v>
      </c>
      <c r="R68" s="8" t="s">
        <v>24</v>
      </c>
    </row>
    <row r="69" spans="1:18" ht="16.5" thickBot="1" x14ac:dyDescent="0.25">
      <c r="A69" s="8">
        <v>68</v>
      </c>
      <c r="B69" s="8" t="s">
        <v>18</v>
      </c>
      <c r="C69" s="8">
        <v>2</v>
      </c>
      <c r="D69" s="8">
        <v>3</v>
      </c>
      <c r="E69" s="8">
        <v>104</v>
      </c>
      <c r="F69" s="8">
        <v>112</v>
      </c>
      <c r="G69" s="9">
        <v>92.857142859999996</v>
      </c>
      <c r="H69" s="8" t="s">
        <v>28</v>
      </c>
      <c r="I69" s="8" t="s">
        <v>38</v>
      </c>
      <c r="J69" s="8" t="s">
        <v>28</v>
      </c>
      <c r="K69" s="8" t="s">
        <v>22</v>
      </c>
      <c r="L69" s="7">
        <v>43480</v>
      </c>
      <c r="M69" s="8">
        <v>299</v>
      </c>
      <c r="N69" s="8">
        <v>4</v>
      </c>
      <c r="O69" s="8" t="s">
        <v>23</v>
      </c>
      <c r="P69" s="8" t="s">
        <v>24</v>
      </c>
      <c r="Q69" s="8" t="s">
        <v>24</v>
      </c>
      <c r="R69" s="8" t="s">
        <v>24</v>
      </c>
    </row>
    <row r="70" spans="1:18" ht="16.5" thickBot="1" x14ac:dyDescent="0.25">
      <c r="A70" s="8">
        <v>69</v>
      </c>
      <c r="B70" s="8" t="s">
        <v>18</v>
      </c>
      <c r="C70" s="8">
        <v>1</v>
      </c>
      <c r="D70" s="8">
        <v>3</v>
      </c>
      <c r="E70" s="8">
        <v>116</v>
      </c>
      <c r="F70" s="8">
        <v>120</v>
      </c>
      <c r="G70" s="9">
        <v>96.666666669999998</v>
      </c>
      <c r="H70" s="8" t="s">
        <v>28</v>
      </c>
      <c r="I70" s="8" t="s">
        <v>45</v>
      </c>
      <c r="J70" s="8" t="s">
        <v>21</v>
      </c>
      <c r="K70" s="8" t="s">
        <v>22</v>
      </c>
      <c r="L70" s="6">
        <v>43529</v>
      </c>
      <c r="M70" s="8">
        <v>250</v>
      </c>
      <c r="N70" s="8">
        <v>10</v>
      </c>
      <c r="O70" s="8" t="s">
        <v>23</v>
      </c>
      <c r="P70" s="8" t="s">
        <v>24</v>
      </c>
      <c r="Q70" s="8" t="s">
        <v>24</v>
      </c>
      <c r="R70" s="8" t="s">
        <v>24</v>
      </c>
    </row>
    <row r="71" spans="1:18" ht="16.5" thickBot="1" x14ac:dyDescent="0.25">
      <c r="A71" s="8">
        <v>70</v>
      </c>
      <c r="B71" s="8" t="s">
        <v>18</v>
      </c>
      <c r="C71" s="8">
        <v>2</v>
      </c>
      <c r="D71" s="8">
        <v>3</v>
      </c>
      <c r="E71" s="8">
        <v>123</v>
      </c>
      <c r="F71" s="8">
        <v>95</v>
      </c>
      <c r="G71" s="9">
        <v>129.47368420000001</v>
      </c>
      <c r="H71" s="8" t="s">
        <v>28</v>
      </c>
      <c r="I71" s="8" t="s">
        <v>58</v>
      </c>
      <c r="J71" s="8" t="s">
        <v>21</v>
      </c>
      <c r="K71" s="8" t="s">
        <v>22</v>
      </c>
      <c r="L71" s="7">
        <v>43532</v>
      </c>
      <c r="M71" s="8">
        <v>313</v>
      </c>
      <c r="N71" s="8">
        <v>5</v>
      </c>
      <c r="O71" s="8" t="s">
        <v>23</v>
      </c>
      <c r="P71" s="8" t="s">
        <v>23</v>
      </c>
      <c r="Q71" s="8" t="s">
        <v>23</v>
      </c>
      <c r="R71" s="8" t="s">
        <v>24</v>
      </c>
    </row>
    <row r="72" spans="1:18" ht="16.5" thickBot="1" x14ac:dyDescent="0.25">
      <c r="A72" s="8">
        <v>71</v>
      </c>
      <c r="B72" s="8" t="s">
        <v>63</v>
      </c>
      <c r="C72" s="8">
        <v>1</v>
      </c>
      <c r="D72" s="8" t="s">
        <v>64</v>
      </c>
      <c r="E72" s="8">
        <v>100</v>
      </c>
      <c r="F72" s="8">
        <v>58</v>
      </c>
      <c r="G72" s="9">
        <v>172.41379309999999</v>
      </c>
      <c r="H72" s="8" t="s">
        <v>85</v>
      </c>
      <c r="I72" s="8" t="s">
        <v>20</v>
      </c>
      <c r="J72" s="8" t="s">
        <v>21</v>
      </c>
      <c r="K72" s="8" t="s">
        <v>67</v>
      </c>
      <c r="L72" s="6">
        <v>43574</v>
      </c>
      <c r="M72" s="8">
        <v>213</v>
      </c>
      <c r="N72" s="8">
        <v>4</v>
      </c>
      <c r="O72" s="8" t="s">
        <v>23</v>
      </c>
      <c r="P72" s="8" t="s">
        <v>24</v>
      </c>
      <c r="Q72" s="8" t="s">
        <v>24</v>
      </c>
      <c r="R72" s="8" t="s">
        <v>24</v>
      </c>
    </row>
    <row r="73" spans="1:18" ht="16.5" thickBot="1" x14ac:dyDescent="0.25">
      <c r="A73" s="8">
        <v>72</v>
      </c>
      <c r="B73" s="8" t="s">
        <v>18</v>
      </c>
      <c r="C73" s="8">
        <v>1</v>
      </c>
      <c r="D73" s="8">
        <v>3</v>
      </c>
      <c r="E73" s="8">
        <v>120</v>
      </c>
      <c r="F73" s="8">
        <v>125</v>
      </c>
      <c r="G73" s="9">
        <v>96</v>
      </c>
      <c r="H73" s="8" t="s">
        <v>36</v>
      </c>
      <c r="I73" s="8" t="s">
        <v>48</v>
      </c>
      <c r="J73" s="8" t="s">
        <v>36</v>
      </c>
      <c r="K73" s="8" t="s">
        <v>22</v>
      </c>
      <c r="L73" s="7">
        <v>43688</v>
      </c>
      <c r="M73" s="8">
        <v>279</v>
      </c>
      <c r="N73" s="8">
        <v>7</v>
      </c>
      <c r="O73" s="8" t="s">
        <v>23</v>
      </c>
      <c r="P73" s="8" t="s">
        <v>24</v>
      </c>
      <c r="Q73" s="8" t="s">
        <v>24</v>
      </c>
      <c r="R73" s="8" t="s">
        <v>24</v>
      </c>
    </row>
    <row r="74" spans="1:18" ht="16.5" thickBot="1" x14ac:dyDescent="0.25">
      <c r="A74" s="8">
        <v>73</v>
      </c>
      <c r="B74" s="8" t="s">
        <v>18</v>
      </c>
      <c r="C74" s="8">
        <v>2</v>
      </c>
      <c r="D74" s="8">
        <v>3</v>
      </c>
      <c r="E74" s="8">
        <v>114</v>
      </c>
      <c r="F74" s="8">
        <v>99</v>
      </c>
      <c r="G74" s="9">
        <v>115.15151520000001</v>
      </c>
      <c r="H74" s="8" t="s">
        <v>36</v>
      </c>
      <c r="I74" s="8" t="s">
        <v>48</v>
      </c>
      <c r="J74" s="8" t="s">
        <v>36</v>
      </c>
      <c r="K74" s="8" t="s">
        <v>22</v>
      </c>
      <c r="L74" s="6">
        <v>43691</v>
      </c>
      <c r="M74" s="8">
        <v>256</v>
      </c>
      <c r="N74" s="8">
        <v>4</v>
      </c>
      <c r="O74" s="8" t="s">
        <v>24</v>
      </c>
      <c r="P74" s="8" t="s">
        <v>24</v>
      </c>
      <c r="Q74" s="8" t="s">
        <v>24</v>
      </c>
      <c r="R74" s="8" t="s">
        <v>24</v>
      </c>
    </row>
    <row r="75" spans="1:18" ht="16.5" thickBot="1" x14ac:dyDescent="0.25">
      <c r="A75" s="8">
        <v>74</v>
      </c>
      <c r="B75" s="8" t="s">
        <v>37</v>
      </c>
      <c r="C75" s="8">
        <v>1</v>
      </c>
      <c r="D75" s="8">
        <v>4</v>
      </c>
      <c r="E75" s="8">
        <v>254</v>
      </c>
      <c r="F75" s="8">
        <v>336</v>
      </c>
      <c r="G75" s="9">
        <v>75.595238100000003</v>
      </c>
      <c r="H75" s="8" t="s">
        <v>52</v>
      </c>
      <c r="I75" s="8" t="s">
        <v>74</v>
      </c>
      <c r="J75" s="8" t="s">
        <v>21</v>
      </c>
      <c r="K75" s="8" t="s">
        <v>22</v>
      </c>
      <c r="L75" s="7">
        <v>43748</v>
      </c>
      <c r="M75" s="8">
        <v>601</v>
      </c>
      <c r="N75" s="8">
        <v>5</v>
      </c>
      <c r="O75" s="8" t="s">
        <v>24</v>
      </c>
      <c r="P75" s="8" t="s">
        <v>24</v>
      </c>
      <c r="Q75" s="8" t="s">
        <v>24</v>
      </c>
      <c r="R75" s="8" t="s">
        <v>24</v>
      </c>
    </row>
    <row r="76" spans="1:18" ht="16.5" thickBot="1" x14ac:dyDescent="0.25">
      <c r="A76" s="8">
        <v>75</v>
      </c>
      <c r="B76" s="8" t="s">
        <v>37</v>
      </c>
      <c r="C76" s="8">
        <v>2</v>
      </c>
      <c r="D76" s="8">
        <v>4</v>
      </c>
      <c r="E76" s="8">
        <v>136</v>
      </c>
      <c r="F76" s="8">
        <v>194</v>
      </c>
      <c r="G76" s="9">
        <v>70.103092779999997</v>
      </c>
      <c r="H76" s="8" t="s">
        <v>25</v>
      </c>
      <c r="I76" s="8" t="s">
        <v>20</v>
      </c>
      <c r="J76" s="8" t="s">
        <v>21</v>
      </c>
      <c r="K76" s="8" t="s">
        <v>22</v>
      </c>
      <c r="L76" s="6">
        <v>43791</v>
      </c>
      <c r="M76" s="8">
        <v>347</v>
      </c>
      <c r="N76" s="8">
        <v>9</v>
      </c>
      <c r="O76" s="8" t="s">
        <v>23</v>
      </c>
      <c r="P76" s="8" t="s">
        <v>23</v>
      </c>
      <c r="Q76" s="8" t="s">
        <v>24</v>
      </c>
      <c r="R76" s="8" t="s">
        <v>24</v>
      </c>
    </row>
    <row r="77" spans="1:18" ht="16.5" thickBot="1" x14ac:dyDescent="0.25">
      <c r="A77" s="8">
        <v>76</v>
      </c>
      <c r="B77" s="8" t="s">
        <v>86</v>
      </c>
      <c r="C77" s="8">
        <v>1</v>
      </c>
      <c r="D77" s="8" t="s">
        <v>64</v>
      </c>
      <c r="E77" s="8">
        <v>122</v>
      </c>
      <c r="F77" s="8">
        <v>61</v>
      </c>
      <c r="G77" s="9">
        <v>200</v>
      </c>
      <c r="H77" s="8" t="s">
        <v>87</v>
      </c>
      <c r="I77" s="8" t="s">
        <v>88</v>
      </c>
      <c r="J77" s="8" t="s">
        <v>89</v>
      </c>
      <c r="K77" s="8" t="s">
        <v>40</v>
      </c>
      <c r="L77" s="7">
        <v>44812</v>
      </c>
      <c r="M77" s="8">
        <v>212</v>
      </c>
      <c r="N77" s="8">
        <v>2</v>
      </c>
      <c r="O77" s="8" t="s">
        <v>24</v>
      </c>
      <c r="P77" s="8" t="s">
        <v>24</v>
      </c>
      <c r="Q77" s="8" t="s">
        <v>24</v>
      </c>
      <c r="R77" s="8" t="s">
        <v>23</v>
      </c>
    </row>
    <row r="78" spans="1:18" ht="16.5" thickBot="1" x14ac:dyDescent="0.25">
      <c r="A78" s="8">
        <v>77</v>
      </c>
      <c r="B78" s="8" t="s">
        <v>18</v>
      </c>
      <c r="C78" s="8">
        <v>1</v>
      </c>
      <c r="D78" s="8">
        <v>3</v>
      </c>
      <c r="E78" s="8">
        <v>113</v>
      </c>
      <c r="F78" s="8">
        <v>91</v>
      </c>
      <c r="G78" s="9">
        <v>124.17582419999999</v>
      </c>
      <c r="H78" s="8" t="s">
        <v>25</v>
      </c>
      <c r="I78" s="8" t="s">
        <v>90</v>
      </c>
      <c r="J78" s="8" t="s">
        <v>25</v>
      </c>
      <c r="K78" s="8" t="s">
        <v>22</v>
      </c>
      <c r="L78" s="6">
        <v>44905</v>
      </c>
      <c r="M78" s="8">
        <v>409</v>
      </c>
      <c r="N78" s="8">
        <v>8</v>
      </c>
      <c r="O78" s="8" t="s">
        <v>23</v>
      </c>
      <c r="P78" s="8" t="s">
        <v>23</v>
      </c>
      <c r="Q78" s="8" t="s">
        <v>24</v>
      </c>
      <c r="R78" s="8" t="s">
        <v>23</v>
      </c>
    </row>
    <row r="79" spans="1:18" ht="16.5" thickBot="1" x14ac:dyDescent="0.25">
      <c r="A79" s="8">
        <v>78</v>
      </c>
      <c r="B79" s="8" t="s">
        <v>18</v>
      </c>
      <c r="C79" s="8">
        <v>1</v>
      </c>
      <c r="D79" s="8">
        <v>3</v>
      </c>
      <c r="E79" s="8">
        <v>113</v>
      </c>
      <c r="F79" s="8">
        <v>87</v>
      </c>
      <c r="G79" s="9">
        <v>129.88505749999999</v>
      </c>
      <c r="H79" s="8" t="s">
        <v>19</v>
      </c>
      <c r="I79" s="8" t="s">
        <v>31</v>
      </c>
      <c r="J79" s="8" t="s">
        <v>21</v>
      </c>
      <c r="K79" s="8" t="s">
        <v>22</v>
      </c>
      <c r="L79" s="7">
        <v>44936</v>
      </c>
      <c r="M79" s="8">
        <v>373</v>
      </c>
      <c r="N79" s="8">
        <v>7</v>
      </c>
      <c r="O79" s="8" t="s">
        <v>23</v>
      </c>
      <c r="P79" s="8" t="s">
        <v>24</v>
      </c>
      <c r="Q79" s="8" t="s">
        <v>24</v>
      </c>
      <c r="R79" s="8" t="s">
        <v>23</v>
      </c>
    </row>
    <row r="80" spans="1:18" ht="16.5" thickBot="1" x14ac:dyDescent="0.25">
      <c r="A80" s="8">
        <v>79</v>
      </c>
      <c r="B80" s="8" t="s">
        <v>18</v>
      </c>
      <c r="C80" s="8">
        <v>1</v>
      </c>
      <c r="D80" s="8">
        <v>3</v>
      </c>
      <c r="E80" s="8">
        <v>166</v>
      </c>
      <c r="F80" s="8">
        <v>110</v>
      </c>
      <c r="G80" s="9">
        <v>150.9090909</v>
      </c>
      <c r="H80" s="8" t="s">
        <v>19</v>
      </c>
      <c r="I80" s="8" t="s">
        <v>91</v>
      </c>
      <c r="J80" s="8" t="s">
        <v>21</v>
      </c>
      <c r="K80" s="8" t="s">
        <v>22</v>
      </c>
      <c r="L80" s="6">
        <v>44941</v>
      </c>
      <c r="M80" s="8">
        <v>390</v>
      </c>
      <c r="N80" s="8">
        <v>5</v>
      </c>
      <c r="O80" s="8" t="s">
        <v>24</v>
      </c>
      <c r="P80" s="8" t="s">
        <v>24</v>
      </c>
      <c r="Q80" s="8" t="s">
        <v>24</v>
      </c>
      <c r="R80" s="8" t="s">
        <v>23</v>
      </c>
    </row>
    <row r="81" spans="1:18" ht="16.5" thickBot="1" x14ac:dyDescent="0.25">
      <c r="A81" s="8">
        <v>80</v>
      </c>
      <c r="B81" s="8" t="s">
        <v>37</v>
      </c>
      <c r="C81" s="8">
        <v>2</v>
      </c>
      <c r="D81" s="8">
        <v>4</v>
      </c>
      <c r="E81" s="8">
        <v>186</v>
      </c>
      <c r="F81" s="8">
        <v>364</v>
      </c>
      <c r="G81" s="9">
        <v>51.098901099999999</v>
      </c>
      <c r="H81" s="8" t="s">
        <v>28</v>
      </c>
      <c r="I81" s="8" t="s">
        <v>92</v>
      </c>
      <c r="J81" s="8" t="s">
        <v>21</v>
      </c>
      <c r="K81" s="8" t="s">
        <v>22</v>
      </c>
      <c r="L81" s="7">
        <v>44994</v>
      </c>
      <c r="M81" s="8">
        <v>571</v>
      </c>
      <c r="N81" s="8">
        <v>9</v>
      </c>
      <c r="O81" s="8" t="s">
        <v>23</v>
      </c>
      <c r="P81" s="8" t="s">
        <v>24</v>
      </c>
      <c r="Q81" s="8" t="s">
        <v>46</v>
      </c>
      <c r="R81" s="8" t="s">
        <v>23</v>
      </c>
    </row>
    <row r="82" spans="1:18" ht="16.5" thickBot="1" x14ac:dyDescent="0.25">
      <c r="A82" s="8">
        <v>81</v>
      </c>
      <c r="B82" s="8" t="s">
        <v>63</v>
      </c>
      <c r="C82" s="8">
        <v>2</v>
      </c>
      <c r="D82" s="8" t="s">
        <v>64</v>
      </c>
      <c r="E82" s="8">
        <v>100</v>
      </c>
      <c r="F82" s="8">
        <v>63</v>
      </c>
      <c r="G82" s="9">
        <v>158.7301587</v>
      </c>
      <c r="H82" s="8" t="s">
        <v>93</v>
      </c>
      <c r="I82" s="8" t="s">
        <v>75</v>
      </c>
      <c r="J82" s="8" t="s">
        <v>21</v>
      </c>
      <c r="K82" s="8" t="s">
        <v>67</v>
      </c>
      <c r="L82" s="6">
        <v>45064</v>
      </c>
      <c r="M82" s="8">
        <v>187</v>
      </c>
      <c r="N82" s="8">
        <v>2</v>
      </c>
      <c r="O82" s="8" t="s">
        <v>23</v>
      </c>
      <c r="P82" s="8" t="s">
        <v>24</v>
      </c>
      <c r="Q82" s="8" t="s">
        <v>24</v>
      </c>
      <c r="R82" s="8" t="s">
        <v>23</v>
      </c>
    </row>
    <row r="83" spans="1:18" ht="16.5" thickBot="1" x14ac:dyDescent="0.25">
      <c r="A83" s="8">
        <v>82</v>
      </c>
      <c r="B83" s="8" t="s">
        <v>63</v>
      </c>
      <c r="C83" s="8">
        <v>1</v>
      </c>
      <c r="D83" s="8" t="s">
        <v>64</v>
      </c>
      <c r="E83" s="8">
        <v>101</v>
      </c>
      <c r="F83" s="8">
        <v>61</v>
      </c>
      <c r="G83" s="9">
        <v>165.57377049999999</v>
      </c>
      <c r="H83" s="8" t="s">
        <v>94</v>
      </c>
      <c r="I83" s="8" t="s">
        <v>44</v>
      </c>
      <c r="J83" s="8" t="s">
        <v>21</v>
      </c>
      <c r="K83" s="8" t="s">
        <v>67</v>
      </c>
      <c r="L83" s="7">
        <v>45067</v>
      </c>
      <c r="M83" s="8">
        <v>197</v>
      </c>
      <c r="N83" s="8">
        <v>5</v>
      </c>
      <c r="O83" s="8" t="s">
        <v>24</v>
      </c>
      <c r="P83" s="8" t="s">
        <v>23</v>
      </c>
      <c r="Q83" s="8" t="s">
        <v>23</v>
      </c>
      <c r="R83" s="8" t="s">
        <v>23</v>
      </c>
    </row>
    <row r="84" spans="1:18" ht="16.5" thickBot="1" x14ac:dyDescent="0.25">
      <c r="A84" s="8">
        <v>83</v>
      </c>
      <c r="B84" s="8" t="s">
        <v>37</v>
      </c>
      <c r="C84" s="8">
        <v>1</v>
      </c>
      <c r="D84" s="8">
        <v>4</v>
      </c>
      <c r="E84" s="8">
        <v>121</v>
      </c>
      <c r="F84" s="8">
        <v>206</v>
      </c>
      <c r="G84" s="9">
        <v>58.737864080000001</v>
      </c>
      <c r="H84" s="8" t="s">
        <v>36</v>
      </c>
      <c r="I84" s="8" t="s">
        <v>48</v>
      </c>
      <c r="J84" s="8" t="s">
        <v>36</v>
      </c>
      <c r="K84" s="8" t="s">
        <v>22</v>
      </c>
      <c r="L84" s="6">
        <v>45127</v>
      </c>
      <c r="M84" s="8">
        <v>438</v>
      </c>
      <c r="N84" s="8">
        <v>10</v>
      </c>
      <c r="O84" s="8" t="s">
        <v>23</v>
      </c>
      <c r="P84" s="8" t="s">
        <v>23</v>
      </c>
      <c r="Q84" s="8" t="s">
        <v>46</v>
      </c>
      <c r="R84" s="8" t="s">
        <v>23</v>
      </c>
    </row>
    <row r="85" spans="1:18" ht="16.5" thickBot="1" x14ac:dyDescent="0.25">
      <c r="A85" s="8">
        <v>84</v>
      </c>
      <c r="B85" s="8" t="s">
        <v>18</v>
      </c>
      <c r="C85" s="8">
        <v>1</v>
      </c>
      <c r="D85" s="8">
        <v>3</v>
      </c>
      <c r="E85" s="8">
        <v>122</v>
      </c>
      <c r="F85" s="8">
        <v>94</v>
      </c>
      <c r="G85" s="9">
        <v>129.78723400000001</v>
      </c>
      <c r="H85" s="8" t="s">
        <v>41</v>
      </c>
      <c r="I85" s="8" t="s">
        <v>43</v>
      </c>
      <c r="J85" s="8" t="s">
        <v>19</v>
      </c>
      <c r="K85" s="8" t="s">
        <v>40</v>
      </c>
      <c r="L85" s="7">
        <v>45180</v>
      </c>
      <c r="M85" s="8">
        <v>356</v>
      </c>
      <c r="N85" s="8">
        <v>2</v>
      </c>
      <c r="O85" s="8" t="s">
        <v>24</v>
      </c>
      <c r="P85" s="8" t="s">
        <v>24</v>
      </c>
      <c r="Q85" s="8" t="s">
        <v>24</v>
      </c>
      <c r="R85" s="8" t="s">
        <v>23</v>
      </c>
    </row>
    <row r="86" spans="1:18" ht="16.5" thickBot="1" x14ac:dyDescent="0.25">
      <c r="A86" s="8">
        <v>85</v>
      </c>
      <c r="B86" s="8" t="s">
        <v>18</v>
      </c>
      <c r="C86" s="8">
        <v>2</v>
      </c>
      <c r="D86" s="8">
        <v>3</v>
      </c>
      <c r="E86" s="8">
        <v>103</v>
      </c>
      <c r="F86" s="8">
        <v>97</v>
      </c>
      <c r="G86" s="9">
        <v>106.18556700000001</v>
      </c>
      <c r="H86" s="8" t="s">
        <v>25</v>
      </c>
      <c r="I86" s="8" t="s">
        <v>74</v>
      </c>
      <c r="J86" s="8" t="s">
        <v>21</v>
      </c>
      <c r="K86" s="8" t="s">
        <v>32</v>
      </c>
      <c r="L86" s="6">
        <v>45218</v>
      </c>
      <c r="M86" s="8">
        <v>261</v>
      </c>
      <c r="N86" s="8">
        <v>3</v>
      </c>
      <c r="O86" s="8" t="s">
        <v>24</v>
      </c>
      <c r="P86" s="8" t="s">
        <v>24</v>
      </c>
      <c r="Q86" s="8" t="s">
        <v>24</v>
      </c>
      <c r="R86" s="8" t="s">
        <v>23</v>
      </c>
    </row>
    <row r="87" spans="1:18" ht="16.5" thickBot="1" x14ac:dyDescent="0.25">
      <c r="A87" s="8">
        <v>86</v>
      </c>
      <c r="B87" s="8" t="s">
        <v>18</v>
      </c>
      <c r="C87" s="8">
        <v>1</v>
      </c>
      <c r="D87" s="8">
        <v>3</v>
      </c>
      <c r="E87" s="8">
        <v>101</v>
      </c>
      <c r="F87" s="8">
        <v>121</v>
      </c>
      <c r="G87" s="9">
        <v>83.471074380000005</v>
      </c>
      <c r="H87" s="8" t="s">
        <v>52</v>
      </c>
      <c r="I87" s="8" t="s">
        <v>20</v>
      </c>
      <c r="J87" s="8" t="s">
        <v>21</v>
      </c>
      <c r="K87" s="8" t="s">
        <v>32</v>
      </c>
      <c r="L87" s="7">
        <v>45235</v>
      </c>
      <c r="M87" s="8">
        <v>326</v>
      </c>
      <c r="N87" s="8">
        <v>5</v>
      </c>
      <c r="O87" s="8" t="s">
        <v>24</v>
      </c>
      <c r="P87" s="8" t="s">
        <v>24</v>
      </c>
      <c r="Q87" s="8" t="s">
        <v>24</v>
      </c>
      <c r="R87" s="8" t="s">
        <v>23</v>
      </c>
    </row>
    <row r="88" spans="1:18" ht="16.5" thickBot="1" x14ac:dyDescent="0.25">
      <c r="A88" s="8">
        <v>87</v>
      </c>
      <c r="B88" s="8" t="s">
        <v>18</v>
      </c>
      <c r="C88" s="8">
        <v>1</v>
      </c>
      <c r="D88" s="8">
        <v>3</v>
      </c>
      <c r="E88" s="8">
        <v>117</v>
      </c>
      <c r="F88" s="8">
        <v>112</v>
      </c>
      <c r="G88" s="9">
        <v>104.4642857</v>
      </c>
      <c r="H88" s="8" t="s">
        <v>30</v>
      </c>
      <c r="I88" s="8" t="s">
        <v>73</v>
      </c>
      <c r="J88" s="8" t="s">
        <v>21</v>
      </c>
      <c r="K88" s="8" t="s">
        <v>32</v>
      </c>
      <c r="L88" s="6">
        <v>45245</v>
      </c>
      <c r="M88" s="8">
        <v>397</v>
      </c>
      <c r="N88" s="8">
        <v>4</v>
      </c>
      <c r="O88" s="8" t="s">
        <v>23</v>
      </c>
      <c r="P88" s="8" t="s">
        <v>23</v>
      </c>
      <c r="Q88" s="8" t="s">
        <v>24</v>
      </c>
      <c r="R88" s="8" t="s">
        <v>23</v>
      </c>
    </row>
    <row r="89" spans="1:18" ht="16.5" thickBot="1" x14ac:dyDescent="0.25">
      <c r="A89" s="8">
        <v>88</v>
      </c>
      <c r="B89" s="8" t="s">
        <v>63</v>
      </c>
      <c r="C89" s="8">
        <v>1</v>
      </c>
      <c r="D89" s="8" t="s">
        <v>64</v>
      </c>
      <c r="E89" s="8">
        <v>113</v>
      </c>
      <c r="F89" s="8">
        <v>72</v>
      </c>
      <c r="G89" s="9">
        <v>156.94444440000001</v>
      </c>
      <c r="H89" s="8" t="s">
        <v>95</v>
      </c>
      <c r="I89" s="8" t="s">
        <v>51</v>
      </c>
      <c r="J89" s="8" t="s">
        <v>21</v>
      </c>
      <c r="K89" s="8" t="s">
        <v>67</v>
      </c>
      <c r="L89" s="7">
        <v>45388</v>
      </c>
      <c r="M89" s="8">
        <v>183</v>
      </c>
      <c r="N89" s="8">
        <v>3</v>
      </c>
      <c r="O89" s="8" t="s">
        <v>24</v>
      </c>
      <c r="P89" s="8" t="s">
        <v>23</v>
      </c>
      <c r="Q89" s="8" t="s">
        <v>23</v>
      </c>
      <c r="R89" s="8" t="s">
        <v>23</v>
      </c>
    </row>
    <row r="90" spans="1:18" ht="16.5" thickBot="1" x14ac:dyDescent="0.25">
      <c r="A90" s="8">
        <v>89</v>
      </c>
      <c r="B90" s="8" t="s">
        <v>37</v>
      </c>
      <c r="C90" s="8">
        <v>3</v>
      </c>
      <c r="D90" s="8">
        <v>4</v>
      </c>
      <c r="E90" s="8">
        <v>100</v>
      </c>
      <c r="F90" s="8">
        <v>143</v>
      </c>
      <c r="G90" s="9">
        <v>69.930069930000002</v>
      </c>
      <c r="H90" s="8" t="s">
        <v>28</v>
      </c>
      <c r="I90" s="8" t="s">
        <v>84</v>
      </c>
      <c r="J90" s="8" t="s">
        <v>28</v>
      </c>
      <c r="K90" s="8" t="s">
        <v>22</v>
      </c>
      <c r="L90" s="6">
        <v>45618</v>
      </c>
      <c r="M90" s="8">
        <v>487</v>
      </c>
      <c r="N90" s="8">
        <v>6</v>
      </c>
      <c r="O90" s="8" t="s">
        <v>24</v>
      </c>
      <c r="P90" s="8" t="s">
        <v>23</v>
      </c>
      <c r="Q90" s="8" t="s">
        <v>24</v>
      </c>
      <c r="R90" s="8" t="s">
        <v>23</v>
      </c>
    </row>
    <row r="91" spans="1:18" ht="16.2" thickBot="1" x14ac:dyDescent="0.25">
      <c r="A91" s="8">
        <v>90</v>
      </c>
      <c r="B91" s="8" t="s">
        <v>18</v>
      </c>
      <c r="C91" s="8">
        <v>2</v>
      </c>
      <c r="D91" s="8">
        <v>3</v>
      </c>
      <c r="E91" s="8">
        <v>100</v>
      </c>
      <c r="F91" s="8">
        <v>111</v>
      </c>
      <c r="G91" s="9">
        <v>90.090090090000004</v>
      </c>
      <c r="H91" s="8" t="s">
        <v>41</v>
      </c>
      <c r="I91" s="8" t="s">
        <v>88</v>
      </c>
      <c r="J91" s="8" t="s">
        <v>89</v>
      </c>
      <c r="K91" s="8" t="s">
        <v>96</v>
      </c>
      <c r="L91" s="7">
        <v>45711</v>
      </c>
      <c r="M91" s="8">
        <v>244</v>
      </c>
      <c r="N91" s="8">
        <v>4</v>
      </c>
      <c r="O91" s="8" t="s">
        <v>24</v>
      </c>
      <c r="P91" s="8" t="s">
        <v>24</v>
      </c>
      <c r="Q91" s="8" t="s">
        <v>24</v>
      </c>
      <c r="R91" s="8" t="s">
        <v>23</v>
      </c>
    </row>
    <row r="92" spans="1:18" ht="16.2" thickBot="1" x14ac:dyDescent="0.25">
      <c r="A92" s="8">
        <v>91</v>
      </c>
      <c r="B92" s="8" t="s">
        <v>18</v>
      </c>
      <c r="C92" s="8">
        <v>1</v>
      </c>
      <c r="D92" s="8">
        <v>3</v>
      </c>
      <c r="E92" s="8">
        <v>135</v>
      </c>
      <c r="F92" s="8">
        <v>120</v>
      </c>
      <c r="G92" s="9">
        <v>112.5</v>
      </c>
      <c r="H92" s="8" t="s">
        <v>52</v>
      </c>
      <c r="I92" s="8" t="s">
        <v>58</v>
      </c>
      <c r="J92" s="8" t="s">
        <v>21</v>
      </c>
      <c r="K92" s="8" t="s">
        <v>22</v>
      </c>
      <c r="L92" s="6">
        <v>45991</v>
      </c>
      <c r="M92" s="8">
        <v>349</v>
      </c>
      <c r="N92" s="8">
        <v>9</v>
      </c>
      <c r="O92" s="8" t="s">
        <v>23</v>
      </c>
      <c r="P92" s="8" t="s">
        <v>24</v>
      </c>
      <c r="Q92" s="8" t="s">
        <v>24</v>
      </c>
      <c r="R92" s="8" t="s">
        <v>23</v>
      </c>
    </row>
    <row r="93" spans="1:18" ht="16.2" thickBot="1" x14ac:dyDescent="0.25">
      <c r="A93" s="8">
        <v>92</v>
      </c>
      <c r="B93" s="8" t="s">
        <v>18</v>
      </c>
      <c r="C93" s="8">
        <v>1</v>
      </c>
      <c r="D93" s="8">
        <v>3</v>
      </c>
      <c r="E93" s="8">
        <v>102</v>
      </c>
      <c r="F93" s="8">
        <v>93</v>
      </c>
      <c r="G93" s="9">
        <v>109.67741940000001</v>
      </c>
      <c r="H93" s="8" t="s">
        <v>52</v>
      </c>
      <c r="I93" s="8" t="s">
        <v>97</v>
      </c>
      <c r="J93" s="8" t="s">
        <v>21</v>
      </c>
      <c r="K93" s="8" t="s">
        <v>22</v>
      </c>
      <c r="L93" s="7">
        <v>45994</v>
      </c>
      <c r="M93" s="8">
        <v>358</v>
      </c>
      <c r="N93" s="8">
        <v>5</v>
      </c>
      <c r="O93" s="8" t="s">
        <v>23</v>
      </c>
      <c r="P93" s="8" t="s">
        <v>23</v>
      </c>
      <c r="Q93" s="8" t="s">
        <v>23</v>
      </c>
      <c r="R93" s="8" t="s">
        <v>23</v>
      </c>
    </row>
    <row r="94" spans="1:18" ht="16.2" thickBot="1" x14ac:dyDescent="0.25">
      <c r="A94" s="8">
        <v>93</v>
      </c>
      <c r="B94" s="8" t="s">
        <v>18</v>
      </c>
      <c r="C94" s="8">
        <v>2</v>
      </c>
      <c r="D94" s="8">
        <v>3</v>
      </c>
      <c r="E94" s="8">
        <v>124</v>
      </c>
      <c r="F94" s="8">
        <v>108</v>
      </c>
      <c r="G94" s="9">
        <v>114.81481479999999</v>
      </c>
      <c r="H94" s="8" t="s">
        <v>30</v>
      </c>
      <c r="I94" s="8" t="s">
        <v>71</v>
      </c>
      <c r="J94" s="8" t="s">
        <v>21</v>
      </c>
      <c r="K94" s="8" t="s">
        <v>22</v>
      </c>
      <c r="L94" s="6">
        <v>46040</v>
      </c>
      <c r="M94" s="8">
        <v>296</v>
      </c>
      <c r="N94" s="8">
        <v>10</v>
      </c>
      <c r="O94" s="8" t="s">
        <v>23</v>
      </c>
      <c r="P94" s="8" t="s">
        <v>23</v>
      </c>
      <c r="Q94" s="8" t="s">
        <v>23</v>
      </c>
      <c r="R94" s="8" t="s">
        <v>23</v>
      </c>
    </row>
  </sheetData>
  <pageMargins left="0.7" right="0.7" top="0.75" bottom="0.75" header="0.3" footer="0.3"/>
  <pageSetup orientation="portrait"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Sheet4</vt:lpstr>
      <vt:lpstr>Sheet5</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Dhruv Desai</dc:creator>
  <cp:lastModifiedBy>Dhruv Desai</cp:lastModifiedBy>
  <dcterms:created xsi:type="dcterms:W3CDTF">2026-03-14T05:33:08Z</dcterms:created>
  <dcterms:modified xsi:type="dcterms:W3CDTF">2026-03-17T12:08:00Z</dcterms:modified>
</cp:coreProperties>
</file>